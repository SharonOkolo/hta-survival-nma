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urvi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Extrapolated overall survival</a:t>
            </a:r>
          </a:p>
        </rich>
      </tx>
    </title>
    <plotArea>
      <lineChart>
        <grouping val="standard"/>
        <ser>
          <idx val="0"/>
          <order val="0"/>
          <tx>
            <strRef>
              <f>'Survival'!C1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'Survival'!$C$2:$C$362</f>
            </numRef>
          </val>
        </ser>
        <ser>
          <idx val="1"/>
          <order val="1"/>
          <tx>
            <strRef>
              <f>'Survival'!D1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'Survival'!$D$2:$D$362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Cycle (months)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Survival extrapolation model: colon cancer trial (Lev+5FU vs Obs)</t>
        </is>
      </c>
    </row>
    <row r="3">
      <c r="A3" s="2" t="inlineStr">
        <is>
          <t>Selected model (change me)</t>
        </is>
      </c>
      <c r="B3" s="3" t="inlineStr">
        <is>
          <t>lognormal</t>
        </is>
      </c>
    </row>
    <row r="4">
      <c r="A4" t="inlineStr">
        <is>
          <t>Time horizon (years)</t>
        </is>
      </c>
      <c r="B4" t="n">
        <v>30</v>
      </c>
    </row>
    <row r="6">
      <c r="A6" s="2" t="inlineStr">
        <is>
          <t>Model</t>
        </is>
      </c>
      <c r="B6" s="2" t="inlineStr">
        <is>
          <t>Arm</t>
        </is>
      </c>
      <c r="C6" s="2" t="inlineStr">
        <is>
          <t>Parameter 1</t>
        </is>
      </c>
      <c r="D6" s="2" t="inlineStr">
        <is>
          <t>Value</t>
        </is>
      </c>
      <c r="E6" s="2" t="inlineStr">
        <is>
          <t>Parameter 2</t>
        </is>
      </c>
      <c r="F6" s="2" t="inlineStr">
        <is>
          <t>Value</t>
        </is>
      </c>
    </row>
    <row r="7">
      <c r="A7" t="inlineStr">
        <is>
          <t>weibull</t>
        </is>
      </c>
      <c r="B7" t="inlineStr">
        <is>
          <t>Obs</t>
        </is>
      </c>
      <c r="C7" t="inlineStr">
        <is>
          <t>shape</t>
        </is>
      </c>
      <c r="D7" t="n">
        <v>1.08626230268688</v>
      </c>
      <c r="E7" t="inlineStr">
        <is>
          <t>scale</t>
        </is>
      </c>
      <c r="F7" t="n">
        <v>7.92205990331095</v>
      </c>
    </row>
    <row r="8">
      <c r="A8" t="inlineStr">
        <is>
          <t>weibull</t>
        </is>
      </c>
      <c r="B8" t="inlineStr">
        <is>
          <t>Lev+5FU</t>
        </is>
      </c>
      <c r="C8" t="inlineStr">
        <is>
          <t>shape</t>
        </is>
      </c>
      <c r="D8" t="n">
        <v>0.92225082077292</v>
      </c>
      <c r="E8" t="inlineStr">
        <is>
          <t>scale</t>
        </is>
      </c>
      <c r="F8" t="n">
        <v>12.9884812847368</v>
      </c>
    </row>
    <row r="9">
      <c r="A9" t="inlineStr">
        <is>
          <t>lognormal</t>
        </is>
      </c>
      <c r="B9" t="inlineStr">
        <is>
          <t>Obs</t>
        </is>
      </c>
      <c r="C9" t="inlineStr">
        <is>
          <t>meanlog</t>
        </is>
      </c>
      <c r="D9" t="n">
        <v>1.69850171448033</v>
      </c>
      <c r="E9" t="inlineStr">
        <is>
          <t>sdlog</t>
        </is>
      </c>
      <c r="F9" t="n">
        <v>1.25248563949829</v>
      </c>
    </row>
    <row r="10">
      <c r="A10" t="inlineStr">
        <is>
          <t>lognormal</t>
        </is>
      </c>
      <c r="B10" t="inlineStr">
        <is>
          <t>Lev+5FU</t>
        </is>
      </c>
      <c r="C10" t="inlineStr">
        <is>
          <t>meanlog</t>
        </is>
      </c>
      <c r="D10" t="n">
        <v>2.26030318332223</v>
      </c>
      <c r="E10" t="inlineStr">
        <is>
          <t>sdlog</t>
        </is>
      </c>
      <c r="F10" t="n">
        <v>1.68160258807444</v>
      </c>
    </row>
    <row r="11">
      <c r="A11" t="inlineStr">
        <is>
          <t>loglogistic</t>
        </is>
      </c>
      <c r="B11" t="inlineStr">
        <is>
          <t>Obs</t>
        </is>
      </c>
      <c r="C11" t="inlineStr">
        <is>
          <t>shape</t>
        </is>
      </c>
      <c r="D11" t="n">
        <v>1.33688018741515</v>
      </c>
      <c r="E11" t="inlineStr">
        <is>
          <t>scale</t>
        </is>
      </c>
      <c r="F11" t="n">
        <v>5.36924998876546</v>
      </c>
    </row>
    <row r="12">
      <c r="A12" t="inlineStr">
        <is>
          <t>loglogistic</t>
        </is>
      </c>
      <c r="B12" t="inlineStr">
        <is>
          <t>Lev+5FU</t>
        </is>
      </c>
      <c r="C12" t="inlineStr">
        <is>
          <t>shape</t>
        </is>
      </c>
      <c r="D12" t="n">
        <v>1.06222842851488</v>
      </c>
      <c r="E12" t="inlineStr">
        <is>
          <t>scale</t>
        </is>
      </c>
      <c r="F12" t="n">
        <v>8.960219215109371</v>
      </c>
    </row>
    <row r="16">
      <c r="A16" t="inlineStr">
        <is>
          <t>Parameters estimated in R (flexsurv) by analysis/01_survival.R; source: outputs/parametric_params.csv</t>
        </is>
      </c>
    </row>
  </sheetData>
  <dataValidations count="1">
    <dataValidation sqref="B3" showDropDown="0" showInputMessage="0" showErrorMessage="0" allowBlank="0" type="list">
      <formula1>"weibull,lognormal,loglogistic"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Results (update with the model selector on Inputs)</t>
        </is>
      </c>
    </row>
    <row r="3">
      <c r="A3" s="2" t="inlineStr"/>
      <c r="B3" s="2" t="inlineStr">
        <is>
          <t>Obs</t>
        </is>
      </c>
      <c r="C3" s="2" t="inlineStr">
        <is>
          <t>Lev+5FU</t>
        </is>
      </c>
      <c r="D3" s="2" t="inlineStr">
        <is>
          <t>Difference</t>
        </is>
      </c>
    </row>
    <row r="4">
      <c r="A4" t="inlineStr">
        <is>
          <t>Mean life-years (30 y)</t>
        </is>
      </c>
      <c r="B4">
        <f>SUM(Survival!E3:E362)</f>
        <v/>
      </c>
      <c r="C4">
        <f>SUM(Survival!F3:F362)</f>
        <v/>
      </c>
      <c r="D4">
        <f>C4-B4</f>
        <v/>
      </c>
    </row>
    <row r="5">
      <c r="A5" t="inlineStr">
        <is>
          <t>Survival at 5 years</t>
        </is>
      </c>
      <c r="B5">
        <f>Survival!C62</f>
        <v/>
      </c>
      <c r="C5">
        <f>Survival!D62</f>
        <v/>
      </c>
      <c r="D5">
        <f>C5-B5</f>
        <v/>
      </c>
    </row>
    <row r="6">
      <c r="A6" t="inlineStr">
        <is>
          <t>Survival at 20 years</t>
        </is>
      </c>
      <c r="B6">
        <f>Survival!C242</f>
        <v/>
      </c>
      <c r="C6">
        <f>Survival!D242</f>
        <v/>
      </c>
      <c r="D6">
        <f>C6-B6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Cycle</t>
        </is>
      </c>
      <c r="B1" s="2" t="inlineStr">
        <is>
          <t>Years</t>
        </is>
      </c>
      <c r="C1" s="2" t="inlineStr">
        <is>
          <t>S(t) Obs</t>
        </is>
      </c>
      <c r="D1" s="2" t="inlineStr">
        <is>
          <t>S(t) Lev+5FU</t>
        </is>
      </c>
      <c r="E1" s="2" t="inlineStr">
        <is>
          <t>LY Obs</t>
        </is>
      </c>
      <c r="F1" s="2" t="inlineStr">
        <is>
          <t>LY Lev+5FU</t>
        </is>
      </c>
    </row>
    <row r="2">
      <c r="A2" t="n">
        <v>0</v>
      </c>
      <c r="B2">
        <f>A2/12</f>
        <v/>
      </c>
      <c r="C2">
        <f>IF(B2=0,1,IF(Inputs!$B$3="weibull",EXP(-(B2/CHOOSE(MATCH(Inputs!$B$3,{"weibull","lognormal","loglogistic"},0),Inputs!$F$7,Inputs!$F$9,Inputs!$F$11))^CHOOSE(MATCH(Inputs!$B$3,{"weibull","lognormal","loglogistic"},0),Inputs!$D$7,Inputs!$D$9,Inputs!$D$11)),IF(Inputs!$B$3="loglogistic",1/(1+(B2/CHOOSE(MATCH(Inputs!$B$3,{"weibull","lognormal","loglogistic"},0),Inputs!$F$7,Inputs!$F$9,Inputs!$F$11))^CHOOSE(MATCH(Inputs!$B$3,{"weibull","lognormal","loglogistic"},0),Inputs!$D$7,Inputs!$D$9,Inputs!$D$11)),1-NORM.S.DIST((LN(B2)-CHOOSE(MATCH(Inputs!$B$3,{"weibull","lognormal","loglogistic"},0),Inputs!$D$7,Inputs!$D$9,Inputs!$D$11))/CHOOSE(MATCH(Inputs!$B$3,{"weibull","lognormal","loglogistic"},0),Inputs!$F$7,Inputs!$F$9,Inputs!$F$11),TRUE))))</f>
        <v/>
      </c>
      <c r="D2">
        <f>IF(B2=0,1,IF(Inputs!$B$3="weibull",EXP(-(B2/CHOOSE(MATCH(Inputs!$B$3,{"weibull","lognormal","loglogistic"},0),Inputs!$F$8,Inputs!$F$10,Inputs!$F$12))^CHOOSE(MATCH(Inputs!$B$3,{"weibull","lognormal","loglogistic"},0),Inputs!$D$8,Inputs!$D$10,Inputs!$D$12)),IF(Inputs!$B$3="loglogistic",1/(1+(B2/CHOOSE(MATCH(Inputs!$B$3,{"weibull","lognormal","loglogistic"},0),Inputs!$F$8,Inputs!$F$10,Inputs!$F$12))^CHOOSE(MATCH(Inputs!$B$3,{"weibull","lognormal","loglogistic"},0),Inputs!$D$8,Inputs!$D$10,Inputs!$D$12)),1-NORM.S.DIST((LN(B2)-CHOOSE(MATCH(Inputs!$B$3,{"weibull","lognormal","loglogistic"},0),Inputs!$D$8,Inputs!$D$10,Inputs!$D$12))/CHOOSE(MATCH(Inputs!$B$3,{"weibull","lognormal","loglogistic"},0),Inputs!$F$8,Inputs!$F$10,Inputs!$F$12),TRUE))))</f>
        <v/>
      </c>
    </row>
    <row r="3">
      <c r="A3" t="n">
        <v>1</v>
      </c>
      <c r="B3">
        <f>A3/12</f>
        <v/>
      </c>
      <c r="C3">
        <f>IF(B3=0,1,IF(Inputs!$B$3="weibull",EXP(-(B3/CHOOSE(MATCH(Inputs!$B$3,{"weibull","lognormal","loglogistic"},0),Inputs!$F$7,Inputs!$F$9,Inputs!$F$11))^CHOOSE(MATCH(Inputs!$B$3,{"weibull","lognormal","loglogistic"},0),Inputs!$D$7,Inputs!$D$9,Inputs!$D$11)),IF(Inputs!$B$3="loglogistic",1/(1+(B3/CHOOSE(MATCH(Inputs!$B$3,{"weibull","lognormal","loglogistic"},0),Inputs!$F$7,Inputs!$F$9,Inputs!$F$11))^CHOOSE(MATCH(Inputs!$B$3,{"weibull","lognormal","loglogistic"},0),Inputs!$D$7,Inputs!$D$9,Inputs!$D$11)),1-NORM.S.DIST((LN(B3)-CHOOSE(MATCH(Inputs!$B$3,{"weibull","lognormal","loglogistic"},0),Inputs!$D$7,Inputs!$D$9,Inputs!$D$11))/CHOOSE(MATCH(Inputs!$B$3,{"weibull","lognormal","loglogistic"},0),Inputs!$F$7,Inputs!$F$9,Inputs!$F$11),TRUE))))</f>
        <v/>
      </c>
      <c r="D3">
        <f>IF(B3=0,1,IF(Inputs!$B$3="weibull",EXP(-(B3/CHOOSE(MATCH(Inputs!$B$3,{"weibull","lognormal","loglogistic"},0),Inputs!$F$8,Inputs!$F$10,Inputs!$F$12))^CHOOSE(MATCH(Inputs!$B$3,{"weibull","lognormal","loglogistic"},0),Inputs!$D$8,Inputs!$D$10,Inputs!$D$12)),IF(Inputs!$B$3="loglogistic",1/(1+(B3/CHOOSE(MATCH(Inputs!$B$3,{"weibull","lognormal","loglogistic"},0),Inputs!$F$8,Inputs!$F$10,Inputs!$F$12))^CHOOSE(MATCH(Inputs!$B$3,{"weibull","lognormal","loglogistic"},0),Inputs!$D$8,Inputs!$D$10,Inputs!$D$12)),1-NORM.S.DIST((LN(B3)-CHOOSE(MATCH(Inputs!$B$3,{"weibull","lognormal","loglogistic"},0),Inputs!$D$8,Inputs!$D$10,Inputs!$D$12))/CHOOSE(MATCH(Inputs!$B$3,{"weibull","lognormal","loglogistic"},0),Inputs!$F$8,Inputs!$F$10,Inputs!$F$12),TRUE))))</f>
        <v/>
      </c>
      <c r="E3">
        <f>(C2+C3)/2/12</f>
        <v/>
      </c>
      <c r="F3">
        <f>(D2+D3)/2/12</f>
        <v/>
      </c>
    </row>
    <row r="4">
      <c r="A4" t="n">
        <v>2</v>
      </c>
      <c r="B4">
        <f>A4/12</f>
        <v/>
      </c>
      <c r="C4">
        <f>IF(B4=0,1,IF(Inputs!$B$3="weibull",EXP(-(B4/CHOOSE(MATCH(Inputs!$B$3,{"weibull","lognormal","loglogistic"},0),Inputs!$F$7,Inputs!$F$9,Inputs!$F$11))^CHOOSE(MATCH(Inputs!$B$3,{"weibull","lognormal","loglogistic"},0),Inputs!$D$7,Inputs!$D$9,Inputs!$D$11)),IF(Inputs!$B$3="loglogistic",1/(1+(B4/CHOOSE(MATCH(Inputs!$B$3,{"weibull","lognormal","loglogistic"},0),Inputs!$F$7,Inputs!$F$9,Inputs!$F$11))^CHOOSE(MATCH(Inputs!$B$3,{"weibull","lognormal","loglogistic"},0),Inputs!$D$7,Inputs!$D$9,Inputs!$D$11)),1-NORM.S.DIST((LN(B4)-CHOOSE(MATCH(Inputs!$B$3,{"weibull","lognormal","loglogistic"},0),Inputs!$D$7,Inputs!$D$9,Inputs!$D$11))/CHOOSE(MATCH(Inputs!$B$3,{"weibull","lognormal","loglogistic"},0),Inputs!$F$7,Inputs!$F$9,Inputs!$F$11),TRUE))))</f>
        <v/>
      </c>
      <c r="D4">
        <f>IF(B4=0,1,IF(Inputs!$B$3="weibull",EXP(-(B4/CHOOSE(MATCH(Inputs!$B$3,{"weibull","lognormal","loglogistic"},0),Inputs!$F$8,Inputs!$F$10,Inputs!$F$12))^CHOOSE(MATCH(Inputs!$B$3,{"weibull","lognormal","loglogistic"},0),Inputs!$D$8,Inputs!$D$10,Inputs!$D$12)),IF(Inputs!$B$3="loglogistic",1/(1+(B4/CHOOSE(MATCH(Inputs!$B$3,{"weibull","lognormal","loglogistic"},0),Inputs!$F$8,Inputs!$F$10,Inputs!$F$12))^CHOOSE(MATCH(Inputs!$B$3,{"weibull","lognormal","loglogistic"},0),Inputs!$D$8,Inputs!$D$10,Inputs!$D$12)),1-NORM.S.DIST((LN(B4)-CHOOSE(MATCH(Inputs!$B$3,{"weibull","lognormal","loglogistic"},0),Inputs!$D$8,Inputs!$D$10,Inputs!$D$12))/CHOOSE(MATCH(Inputs!$B$3,{"weibull","lognormal","loglogistic"},0),Inputs!$F$8,Inputs!$F$10,Inputs!$F$12),TRUE))))</f>
        <v/>
      </c>
      <c r="E4">
        <f>(C3+C4)/2/12</f>
        <v/>
      </c>
      <c r="F4">
        <f>(D3+D4)/2/12</f>
        <v/>
      </c>
    </row>
    <row r="5">
      <c r="A5" t="n">
        <v>3</v>
      </c>
      <c r="B5">
        <f>A5/12</f>
        <v/>
      </c>
      <c r="C5">
        <f>IF(B5=0,1,IF(Inputs!$B$3="weibull",EXP(-(B5/CHOOSE(MATCH(Inputs!$B$3,{"weibull","lognormal","loglogistic"},0),Inputs!$F$7,Inputs!$F$9,Inputs!$F$11))^CHOOSE(MATCH(Inputs!$B$3,{"weibull","lognormal","loglogistic"},0),Inputs!$D$7,Inputs!$D$9,Inputs!$D$11)),IF(Inputs!$B$3="loglogistic",1/(1+(B5/CHOOSE(MATCH(Inputs!$B$3,{"weibull","lognormal","loglogistic"},0),Inputs!$F$7,Inputs!$F$9,Inputs!$F$11))^CHOOSE(MATCH(Inputs!$B$3,{"weibull","lognormal","loglogistic"},0),Inputs!$D$7,Inputs!$D$9,Inputs!$D$11)),1-NORM.S.DIST((LN(B5)-CHOOSE(MATCH(Inputs!$B$3,{"weibull","lognormal","loglogistic"},0),Inputs!$D$7,Inputs!$D$9,Inputs!$D$11))/CHOOSE(MATCH(Inputs!$B$3,{"weibull","lognormal","loglogistic"},0),Inputs!$F$7,Inputs!$F$9,Inputs!$F$11),TRUE))))</f>
        <v/>
      </c>
      <c r="D5">
        <f>IF(B5=0,1,IF(Inputs!$B$3="weibull",EXP(-(B5/CHOOSE(MATCH(Inputs!$B$3,{"weibull","lognormal","loglogistic"},0),Inputs!$F$8,Inputs!$F$10,Inputs!$F$12))^CHOOSE(MATCH(Inputs!$B$3,{"weibull","lognormal","loglogistic"},0),Inputs!$D$8,Inputs!$D$10,Inputs!$D$12)),IF(Inputs!$B$3="loglogistic",1/(1+(B5/CHOOSE(MATCH(Inputs!$B$3,{"weibull","lognormal","loglogistic"},0),Inputs!$F$8,Inputs!$F$10,Inputs!$F$12))^CHOOSE(MATCH(Inputs!$B$3,{"weibull","lognormal","loglogistic"},0),Inputs!$D$8,Inputs!$D$10,Inputs!$D$12)),1-NORM.S.DIST((LN(B5)-CHOOSE(MATCH(Inputs!$B$3,{"weibull","lognormal","loglogistic"},0),Inputs!$D$8,Inputs!$D$10,Inputs!$D$12))/CHOOSE(MATCH(Inputs!$B$3,{"weibull","lognormal","loglogistic"},0),Inputs!$F$8,Inputs!$F$10,Inputs!$F$12),TRUE))))</f>
        <v/>
      </c>
      <c r="E5">
        <f>(C4+C5)/2/12</f>
        <v/>
      </c>
      <c r="F5">
        <f>(D4+D5)/2/12</f>
        <v/>
      </c>
    </row>
    <row r="6">
      <c r="A6" t="n">
        <v>4</v>
      </c>
      <c r="B6">
        <f>A6/12</f>
        <v/>
      </c>
      <c r="C6">
        <f>IF(B6=0,1,IF(Inputs!$B$3="weibull",EXP(-(B6/CHOOSE(MATCH(Inputs!$B$3,{"weibull","lognormal","loglogistic"},0),Inputs!$F$7,Inputs!$F$9,Inputs!$F$11))^CHOOSE(MATCH(Inputs!$B$3,{"weibull","lognormal","loglogistic"},0),Inputs!$D$7,Inputs!$D$9,Inputs!$D$11)),IF(Inputs!$B$3="loglogistic",1/(1+(B6/CHOOSE(MATCH(Inputs!$B$3,{"weibull","lognormal","loglogistic"},0),Inputs!$F$7,Inputs!$F$9,Inputs!$F$11))^CHOOSE(MATCH(Inputs!$B$3,{"weibull","lognormal","loglogistic"},0),Inputs!$D$7,Inputs!$D$9,Inputs!$D$11)),1-NORM.S.DIST((LN(B6)-CHOOSE(MATCH(Inputs!$B$3,{"weibull","lognormal","loglogistic"},0),Inputs!$D$7,Inputs!$D$9,Inputs!$D$11))/CHOOSE(MATCH(Inputs!$B$3,{"weibull","lognormal","loglogistic"},0),Inputs!$F$7,Inputs!$F$9,Inputs!$F$11),TRUE))))</f>
        <v/>
      </c>
      <c r="D6">
        <f>IF(B6=0,1,IF(Inputs!$B$3="weibull",EXP(-(B6/CHOOSE(MATCH(Inputs!$B$3,{"weibull","lognormal","loglogistic"},0),Inputs!$F$8,Inputs!$F$10,Inputs!$F$12))^CHOOSE(MATCH(Inputs!$B$3,{"weibull","lognormal","loglogistic"},0),Inputs!$D$8,Inputs!$D$10,Inputs!$D$12)),IF(Inputs!$B$3="loglogistic",1/(1+(B6/CHOOSE(MATCH(Inputs!$B$3,{"weibull","lognormal","loglogistic"},0),Inputs!$F$8,Inputs!$F$10,Inputs!$F$12))^CHOOSE(MATCH(Inputs!$B$3,{"weibull","lognormal","loglogistic"},0),Inputs!$D$8,Inputs!$D$10,Inputs!$D$12)),1-NORM.S.DIST((LN(B6)-CHOOSE(MATCH(Inputs!$B$3,{"weibull","lognormal","loglogistic"},0),Inputs!$D$8,Inputs!$D$10,Inputs!$D$12))/CHOOSE(MATCH(Inputs!$B$3,{"weibull","lognormal","loglogistic"},0),Inputs!$F$8,Inputs!$F$10,Inputs!$F$12),TRUE))))</f>
        <v/>
      </c>
      <c r="E6">
        <f>(C5+C6)/2/12</f>
        <v/>
      </c>
      <c r="F6">
        <f>(D5+D6)/2/12</f>
        <v/>
      </c>
    </row>
    <row r="7">
      <c r="A7" t="n">
        <v>5</v>
      </c>
      <c r="B7">
        <f>A7/12</f>
        <v/>
      </c>
      <c r="C7">
        <f>IF(B7=0,1,IF(Inputs!$B$3="weibull",EXP(-(B7/CHOOSE(MATCH(Inputs!$B$3,{"weibull","lognormal","loglogistic"},0),Inputs!$F$7,Inputs!$F$9,Inputs!$F$11))^CHOOSE(MATCH(Inputs!$B$3,{"weibull","lognormal","loglogistic"},0),Inputs!$D$7,Inputs!$D$9,Inputs!$D$11)),IF(Inputs!$B$3="loglogistic",1/(1+(B7/CHOOSE(MATCH(Inputs!$B$3,{"weibull","lognormal","loglogistic"},0),Inputs!$F$7,Inputs!$F$9,Inputs!$F$11))^CHOOSE(MATCH(Inputs!$B$3,{"weibull","lognormal","loglogistic"},0),Inputs!$D$7,Inputs!$D$9,Inputs!$D$11)),1-NORM.S.DIST((LN(B7)-CHOOSE(MATCH(Inputs!$B$3,{"weibull","lognormal","loglogistic"},0),Inputs!$D$7,Inputs!$D$9,Inputs!$D$11))/CHOOSE(MATCH(Inputs!$B$3,{"weibull","lognormal","loglogistic"},0),Inputs!$F$7,Inputs!$F$9,Inputs!$F$11),TRUE))))</f>
        <v/>
      </c>
      <c r="D7">
        <f>IF(B7=0,1,IF(Inputs!$B$3="weibull",EXP(-(B7/CHOOSE(MATCH(Inputs!$B$3,{"weibull","lognormal","loglogistic"},0),Inputs!$F$8,Inputs!$F$10,Inputs!$F$12))^CHOOSE(MATCH(Inputs!$B$3,{"weibull","lognormal","loglogistic"},0),Inputs!$D$8,Inputs!$D$10,Inputs!$D$12)),IF(Inputs!$B$3="loglogistic",1/(1+(B7/CHOOSE(MATCH(Inputs!$B$3,{"weibull","lognormal","loglogistic"},0),Inputs!$F$8,Inputs!$F$10,Inputs!$F$12))^CHOOSE(MATCH(Inputs!$B$3,{"weibull","lognormal","loglogistic"},0),Inputs!$D$8,Inputs!$D$10,Inputs!$D$12)),1-NORM.S.DIST((LN(B7)-CHOOSE(MATCH(Inputs!$B$3,{"weibull","lognormal","loglogistic"},0),Inputs!$D$8,Inputs!$D$10,Inputs!$D$12))/CHOOSE(MATCH(Inputs!$B$3,{"weibull","lognormal","loglogistic"},0),Inputs!$F$8,Inputs!$F$10,Inputs!$F$12),TRUE))))</f>
        <v/>
      </c>
      <c r="E7">
        <f>(C6+C7)/2/12</f>
        <v/>
      </c>
      <c r="F7">
        <f>(D6+D7)/2/12</f>
        <v/>
      </c>
    </row>
    <row r="8">
      <c r="A8" t="n">
        <v>6</v>
      </c>
      <c r="B8">
        <f>A8/12</f>
        <v/>
      </c>
      <c r="C8">
        <f>IF(B8=0,1,IF(Inputs!$B$3="weibull",EXP(-(B8/CHOOSE(MATCH(Inputs!$B$3,{"weibull","lognormal","loglogistic"},0),Inputs!$F$7,Inputs!$F$9,Inputs!$F$11))^CHOOSE(MATCH(Inputs!$B$3,{"weibull","lognormal","loglogistic"},0),Inputs!$D$7,Inputs!$D$9,Inputs!$D$11)),IF(Inputs!$B$3="loglogistic",1/(1+(B8/CHOOSE(MATCH(Inputs!$B$3,{"weibull","lognormal","loglogistic"},0),Inputs!$F$7,Inputs!$F$9,Inputs!$F$11))^CHOOSE(MATCH(Inputs!$B$3,{"weibull","lognormal","loglogistic"},0),Inputs!$D$7,Inputs!$D$9,Inputs!$D$11)),1-NORM.S.DIST((LN(B8)-CHOOSE(MATCH(Inputs!$B$3,{"weibull","lognormal","loglogistic"},0),Inputs!$D$7,Inputs!$D$9,Inputs!$D$11))/CHOOSE(MATCH(Inputs!$B$3,{"weibull","lognormal","loglogistic"},0),Inputs!$F$7,Inputs!$F$9,Inputs!$F$11),TRUE))))</f>
        <v/>
      </c>
      <c r="D8">
        <f>IF(B8=0,1,IF(Inputs!$B$3="weibull",EXP(-(B8/CHOOSE(MATCH(Inputs!$B$3,{"weibull","lognormal","loglogistic"},0),Inputs!$F$8,Inputs!$F$10,Inputs!$F$12))^CHOOSE(MATCH(Inputs!$B$3,{"weibull","lognormal","loglogistic"},0),Inputs!$D$8,Inputs!$D$10,Inputs!$D$12)),IF(Inputs!$B$3="loglogistic",1/(1+(B8/CHOOSE(MATCH(Inputs!$B$3,{"weibull","lognormal","loglogistic"},0),Inputs!$F$8,Inputs!$F$10,Inputs!$F$12))^CHOOSE(MATCH(Inputs!$B$3,{"weibull","lognormal","loglogistic"},0),Inputs!$D$8,Inputs!$D$10,Inputs!$D$12)),1-NORM.S.DIST((LN(B8)-CHOOSE(MATCH(Inputs!$B$3,{"weibull","lognormal","loglogistic"},0),Inputs!$D$8,Inputs!$D$10,Inputs!$D$12))/CHOOSE(MATCH(Inputs!$B$3,{"weibull","lognormal","loglogistic"},0),Inputs!$F$8,Inputs!$F$10,Inputs!$F$12),TRUE))))</f>
        <v/>
      </c>
      <c r="E8">
        <f>(C7+C8)/2/12</f>
        <v/>
      </c>
      <c r="F8">
        <f>(D7+D8)/2/12</f>
        <v/>
      </c>
    </row>
    <row r="9">
      <c r="A9" t="n">
        <v>7</v>
      </c>
      <c r="B9">
        <f>A9/12</f>
        <v/>
      </c>
      <c r="C9">
        <f>IF(B9=0,1,IF(Inputs!$B$3="weibull",EXP(-(B9/CHOOSE(MATCH(Inputs!$B$3,{"weibull","lognormal","loglogistic"},0),Inputs!$F$7,Inputs!$F$9,Inputs!$F$11))^CHOOSE(MATCH(Inputs!$B$3,{"weibull","lognormal","loglogistic"},0),Inputs!$D$7,Inputs!$D$9,Inputs!$D$11)),IF(Inputs!$B$3="loglogistic",1/(1+(B9/CHOOSE(MATCH(Inputs!$B$3,{"weibull","lognormal","loglogistic"},0),Inputs!$F$7,Inputs!$F$9,Inputs!$F$11))^CHOOSE(MATCH(Inputs!$B$3,{"weibull","lognormal","loglogistic"},0),Inputs!$D$7,Inputs!$D$9,Inputs!$D$11)),1-NORM.S.DIST((LN(B9)-CHOOSE(MATCH(Inputs!$B$3,{"weibull","lognormal","loglogistic"},0),Inputs!$D$7,Inputs!$D$9,Inputs!$D$11))/CHOOSE(MATCH(Inputs!$B$3,{"weibull","lognormal","loglogistic"},0),Inputs!$F$7,Inputs!$F$9,Inputs!$F$11),TRUE))))</f>
        <v/>
      </c>
      <c r="D9">
        <f>IF(B9=0,1,IF(Inputs!$B$3="weibull",EXP(-(B9/CHOOSE(MATCH(Inputs!$B$3,{"weibull","lognormal","loglogistic"},0),Inputs!$F$8,Inputs!$F$10,Inputs!$F$12))^CHOOSE(MATCH(Inputs!$B$3,{"weibull","lognormal","loglogistic"},0),Inputs!$D$8,Inputs!$D$10,Inputs!$D$12)),IF(Inputs!$B$3="loglogistic",1/(1+(B9/CHOOSE(MATCH(Inputs!$B$3,{"weibull","lognormal","loglogistic"},0),Inputs!$F$8,Inputs!$F$10,Inputs!$F$12))^CHOOSE(MATCH(Inputs!$B$3,{"weibull","lognormal","loglogistic"},0),Inputs!$D$8,Inputs!$D$10,Inputs!$D$12)),1-NORM.S.DIST((LN(B9)-CHOOSE(MATCH(Inputs!$B$3,{"weibull","lognormal","loglogistic"},0),Inputs!$D$8,Inputs!$D$10,Inputs!$D$12))/CHOOSE(MATCH(Inputs!$B$3,{"weibull","lognormal","loglogistic"},0),Inputs!$F$8,Inputs!$F$10,Inputs!$F$12),TRUE))))</f>
        <v/>
      </c>
      <c r="E9">
        <f>(C8+C9)/2/12</f>
        <v/>
      </c>
      <c r="F9">
        <f>(D8+D9)/2/12</f>
        <v/>
      </c>
    </row>
    <row r="10">
      <c r="A10" t="n">
        <v>8</v>
      </c>
      <c r="B10">
        <f>A10/12</f>
        <v/>
      </c>
      <c r="C10">
        <f>IF(B10=0,1,IF(Inputs!$B$3="weibull",EXP(-(B10/CHOOSE(MATCH(Inputs!$B$3,{"weibull","lognormal","loglogistic"},0),Inputs!$F$7,Inputs!$F$9,Inputs!$F$11))^CHOOSE(MATCH(Inputs!$B$3,{"weibull","lognormal","loglogistic"},0),Inputs!$D$7,Inputs!$D$9,Inputs!$D$11)),IF(Inputs!$B$3="loglogistic",1/(1+(B10/CHOOSE(MATCH(Inputs!$B$3,{"weibull","lognormal","loglogistic"},0),Inputs!$F$7,Inputs!$F$9,Inputs!$F$11))^CHOOSE(MATCH(Inputs!$B$3,{"weibull","lognormal","loglogistic"},0),Inputs!$D$7,Inputs!$D$9,Inputs!$D$11)),1-NORM.S.DIST((LN(B10)-CHOOSE(MATCH(Inputs!$B$3,{"weibull","lognormal","loglogistic"},0),Inputs!$D$7,Inputs!$D$9,Inputs!$D$11))/CHOOSE(MATCH(Inputs!$B$3,{"weibull","lognormal","loglogistic"},0),Inputs!$F$7,Inputs!$F$9,Inputs!$F$11),TRUE))))</f>
        <v/>
      </c>
      <c r="D10">
        <f>IF(B10=0,1,IF(Inputs!$B$3="weibull",EXP(-(B10/CHOOSE(MATCH(Inputs!$B$3,{"weibull","lognormal","loglogistic"},0),Inputs!$F$8,Inputs!$F$10,Inputs!$F$12))^CHOOSE(MATCH(Inputs!$B$3,{"weibull","lognormal","loglogistic"},0),Inputs!$D$8,Inputs!$D$10,Inputs!$D$12)),IF(Inputs!$B$3="loglogistic",1/(1+(B10/CHOOSE(MATCH(Inputs!$B$3,{"weibull","lognormal","loglogistic"},0),Inputs!$F$8,Inputs!$F$10,Inputs!$F$12))^CHOOSE(MATCH(Inputs!$B$3,{"weibull","lognormal","loglogistic"},0),Inputs!$D$8,Inputs!$D$10,Inputs!$D$12)),1-NORM.S.DIST((LN(B10)-CHOOSE(MATCH(Inputs!$B$3,{"weibull","lognormal","loglogistic"},0),Inputs!$D$8,Inputs!$D$10,Inputs!$D$12))/CHOOSE(MATCH(Inputs!$B$3,{"weibull","lognormal","loglogistic"},0),Inputs!$F$8,Inputs!$F$10,Inputs!$F$12),TRUE))))</f>
        <v/>
      </c>
      <c r="E10">
        <f>(C9+C10)/2/12</f>
        <v/>
      </c>
      <c r="F10">
        <f>(D9+D10)/2/12</f>
        <v/>
      </c>
    </row>
    <row r="11">
      <c r="A11" t="n">
        <v>9</v>
      </c>
      <c r="B11">
        <f>A11/12</f>
        <v/>
      </c>
      <c r="C11">
        <f>IF(B11=0,1,IF(Inputs!$B$3="weibull",EXP(-(B11/CHOOSE(MATCH(Inputs!$B$3,{"weibull","lognormal","loglogistic"},0),Inputs!$F$7,Inputs!$F$9,Inputs!$F$11))^CHOOSE(MATCH(Inputs!$B$3,{"weibull","lognormal","loglogistic"},0),Inputs!$D$7,Inputs!$D$9,Inputs!$D$11)),IF(Inputs!$B$3="loglogistic",1/(1+(B11/CHOOSE(MATCH(Inputs!$B$3,{"weibull","lognormal","loglogistic"},0),Inputs!$F$7,Inputs!$F$9,Inputs!$F$11))^CHOOSE(MATCH(Inputs!$B$3,{"weibull","lognormal","loglogistic"},0),Inputs!$D$7,Inputs!$D$9,Inputs!$D$11)),1-NORM.S.DIST((LN(B11)-CHOOSE(MATCH(Inputs!$B$3,{"weibull","lognormal","loglogistic"},0),Inputs!$D$7,Inputs!$D$9,Inputs!$D$11))/CHOOSE(MATCH(Inputs!$B$3,{"weibull","lognormal","loglogistic"},0),Inputs!$F$7,Inputs!$F$9,Inputs!$F$11),TRUE))))</f>
        <v/>
      </c>
      <c r="D11">
        <f>IF(B11=0,1,IF(Inputs!$B$3="weibull",EXP(-(B11/CHOOSE(MATCH(Inputs!$B$3,{"weibull","lognormal","loglogistic"},0),Inputs!$F$8,Inputs!$F$10,Inputs!$F$12))^CHOOSE(MATCH(Inputs!$B$3,{"weibull","lognormal","loglogistic"},0),Inputs!$D$8,Inputs!$D$10,Inputs!$D$12)),IF(Inputs!$B$3="loglogistic",1/(1+(B11/CHOOSE(MATCH(Inputs!$B$3,{"weibull","lognormal","loglogistic"},0),Inputs!$F$8,Inputs!$F$10,Inputs!$F$12))^CHOOSE(MATCH(Inputs!$B$3,{"weibull","lognormal","loglogistic"},0),Inputs!$D$8,Inputs!$D$10,Inputs!$D$12)),1-NORM.S.DIST((LN(B11)-CHOOSE(MATCH(Inputs!$B$3,{"weibull","lognormal","loglogistic"},0),Inputs!$D$8,Inputs!$D$10,Inputs!$D$12))/CHOOSE(MATCH(Inputs!$B$3,{"weibull","lognormal","loglogistic"},0),Inputs!$F$8,Inputs!$F$10,Inputs!$F$12),TRUE))))</f>
        <v/>
      </c>
      <c r="E11">
        <f>(C10+C11)/2/12</f>
        <v/>
      </c>
      <c r="F11">
        <f>(D10+D11)/2/12</f>
        <v/>
      </c>
    </row>
    <row r="12">
      <c r="A12" t="n">
        <v>10</v>
      </c>
      <c r="B12">
        <f>A12/12</f>
        <v/>
      </c>
      <c r="C12">
        <f>IF(B12=0,1,IF(Inputs!$B$3="weibull",EXP(-(B12/CHOOSE(MATCH(Inputs!$B$3,{"weibull","lognormal","loglogistic"},0),Inputs!$F$7,Inputs!$F$9,Inputs!$F$11))^CHOOSE(MATCH(Inputs!$B$3,{"weibull","lognormal","loglogistic"},0),Inputs!$D$7,Inputs!$D$9,Inputs!$D$11)),IF(Inputs!$B$3="loglogistic",1/(1+(B12/CHOOSE(MATCH(Inputs!$B$3,{"weibull","lognormal","loglogistic"},0),Inputs!$F$7,Inputs!$F$9,Inputs!$F$11))^CHOOSE(MATCH(Inputs!$B$3,{"weibull","lognormal","loglogistic"},0),Inputs!$D$7,Inputs!$D$9,Inputs!$D$11)),1-NORM.S.DIST((LN(B12)-CHOOSE(MATCH(Inputs!$B$3,{"weibull","lognormal","loglogistic"},0),Inputs!$D$7,Inputs!$D$9,Inputs!$D$11))/CHOOSE(MATCH(Inputs!$B$3,{"weibull","lognormal","loglogistic"},0),Inputs!$F$7,Inputs!$F$9,Inputs!$F$11),TRUE))))</f>
        <v/>
      </c>
      <c r="D12">
        <f>IF(B12=0,1,IF(Inputs!$B$3="weibull",EXP(-(B12/CHOOSE(MATCH(Inputs!$B$3,{"weibull","lognormal","loglogistic"},0),Inputs!$F$8,Inputs!$F$10,Inputs!$F$12))^CHOOSE(MATCH(Inputs!$B$3,{"weibull","lognormal","loglogistic"},0),Inputs!$D$8,Inputs!$D$10,Inputs!$D$12)),IF(Inputs!$B$3="loglogistic",1/(1+(B12/CHOOSE(MATCH(Inputs!$B$3,{"weibull","lognormal","loglogistic"},0),Inputs!$F$8,Inputs!$F$10,Inputs!$F$12))^CHOOSE(MATCH(Inputs!$B$3,{"weibull","lognormal","loglogistic"},0),Inputs!$D$8,Inputs!$D$10,Inputs!$D$12)),1-NORM.S.DIST((LN(B12)-CHOOSE(MATCH(Inputs!$B$3,{"weibull","lognormal","loglogistic"},0),Inputs!$D$8,Inputs!$D$10,Inputs!$D$12))/CHOOSE(MATCH(Inputs!$B$3,{"weibull","lognormal","loglogistic"},0),Inputs!$F$8,Inputs!$F$10,Inputs!$F$12),TRUE))))</f>
        <v/>
      </c>
      <c r="E12">
        <f>(C11+C12)/2/12</f>
        <v/>
      </c>
      <c r="F12">
        <f>(D11+D12)/2/12</f>
        <v/>
      </c>
    </row>
    <row r="13">
      <c r="A13" t="n">
        <v>11</v>
      </c>
      <c r="B13">
        <f>A13/12</f>
        <v/>
      </c>
      <c r="C13">
        <f>IF(B13=0,1,IF(Inputs!$B$3="weibull",EXP(-(B13/CHOOSE(MATCH(Inputs!$B$3,{"weibull","lognormal","loglogistic"},0),Inputs!$F$7,Inputs!$F$9,Inputs!$F$11))^CHOOSE(MATCH(Inputs!$B$3,{"weibull","lognormal","loglogistic"},0),Inputs!$D$7,Inputs!$D$9,Inputs!$D$11)),IF(Inputs!$B$3="loglogistic",1/(1+(B13/CHOOSE(MATCH(Inputs!$B$3,{"weibull","lognormal","loglogistic"},0),Inputs!$F$7,Inputs!$F$9,Inputs!$F$11))^CHOOSE(MATCH(Inputs!$B$3,{"weibull","lognormal","loglogistic"},0),Inputs!$D$7,Inputs!$D$9,Inputs!$D$11)),1-NORM.S.DIST((LN(B13)-CHOOSE(MATCH(Inputs!$B$3,{"weibull","lognormal","loglogistic"},0),Inputs!$D$7,Inputs!$D$9,Inputs!$D$11))/CHOOSE(MATCH(Inputs!$B$3,{"weibull","lognormal","loglogistic"},0),Inputs!$F$7,Inputs!$F$9,Inputs!$F$11),TRUE))))</f>
        <v/>
      </c>
      <c r="D13">
        <f>IF(B13=0,1,IF(Inputs!$B$3="weibull",EXP(-(B13/CHOOSE(MATCH(Inputs!$B$3,{"weibull","lognormal","loglogistic"},0),Inputs!$F$8,Inputs!$F$10,Inputs!$F$12))^CHOOSE(MATCH(Inputs!$B$3,{"weibull","lognormal","loglogistic"},0),Inputs!$D$8,Inputs!$D$10,Inputs!$D$12)),IF(Inputs!$B$3="loglogistic",1/(1+(B13/CHOOSE(MATCH(Inputs!$B$3,{"weibull","lognormal","loglogistic"},0),Inputs!$F$8,Inputs!$F$10,Inputs!$F$12))^CHOOSE(MATCH(Inputs!$B$3,{"weibull","lognormal","loglogistic"},0),Inputs!$D$8,Inputs!$D$10,Inputs!$D$12)),1-NORM.S.DIST((LN(B13)-CHOOSE(MATCH(Inputs!$B$3,{"weibull","lognormal","loglogistic"},0),Inputs!$D$8,Inputs!$D$10,Inputs!$D$12))/CHOOSE(MATCH(Inputs!$B$3,{"weibull","lognormal","loglogistic"},0),Inputs!$F$8,Inputs!$F$10,Inputs!$F$12),TRUE))))</f>
        <v/>
      </c>
      <c r="E13">
        <f>(C12+C13)/2/12</f>
        <v/>
      </c>
      <c r="F13">
        <f>(D12+D13)/2/12</f>
        <v/>
      </c>
    </row>
    <row r="14">
      <c r="A14" t="n">
        <v>12</v>
      </c>
      <c r="B14">
        <f>A14/12</f>
        <v/>
      </c>
      <c r="C14">
        <f>IF(B14=0,1,IF(Inputs!$B$3="weibull",EXP(-(B14/CHOOSE(MATCH(Inputs!$B$3,{"weibull","lognormal","loglogistic"},0),Inputs!$F$7,Inputs!$F$9,Inputs!$F$11))^CHOOSE(MATCH(Inputs!$B$3,{"weibull","lognormal","loglogistic"},0),Inputs!$D$7,Inputs!$D$9,Inputs!$D$11)),IF(Inputs!$B$3="loglogistic",1/(1+(B14/CHOOSE(MATCH(Inputs!$B$3,{"weibull","lognormal","loglogistic"},0),Inputs!$F$7,Inputs!$F$9,Inputs!$F$11))^CHOOSE(MATCH(Inputs!$B$3,{"weibull","lognormal","loglogistic"},0),Inputs!$D$7,Inputs!$D$9,Inputs!$D$11)),1-NORM.S.DIST((LN(B14)-CHOOSE(MATCH(Inputs!$B$3,{"weibull","lognormal","loglogistic"},0),Inputs!$D$7,Inputs!$D$9,Inputs!$D$11))/CHOOSE(MATCH(Inputs!$B$3,{"weibull","lognormal","loglogistic"},0),Inputs!$F$7,Inputs!$F$9,Inputs!$F$11),TRUE))))</f>
        <v/>
      </c>
      <c r="D14">
        <f>IF(B14=0,1,IF(Inputs!$B$3="weibull",EXP(-(B14/CHOOSE(MATCH(Inputs!$B$3,{"weibull","lognormal","loglogistic"},0),Inputs!$F$8,Inputs!$F$10,Inputs!$F$12))^CHOOSE(MATCH(Inputs!$B$3,{"weibull","lognormal","loglogistic"},0),Inputs!$D$8,Inputs!$D$10,Inputs!$D$12)),IF(Inputs!$B$3="loglogistic",1/(1+(B14/CHOOSE(MATCH(Inputs!$B$3,{"weibull","lognormal","loglogistic"},0),Inputs!$F$8,Inputs!$F$10,Inputs!$F$12))^CHOOSE(MATCH(Inputs!$B$3,{"weibull","lognormal","loglogistic"},0),Inputs!$D$8,Inputs!$D$10,Inputs!$D$12)),1-NORM.S.DIST((LN(B14)-CHOOSE(MATCH(Inputs!$B$3,{"weibull","lognormal","loglogistic"},0),Inputs!$D$8,Inputs!$D$10,Inputs!$D$12))/CHOOSE(MATCH(Inputs!$B$3,{"weibull","lognormal","loglogistic"},0),Inputs!$F$8,Inputs!$F$10,Inputs!$F$12),TRUE))))</f>
        <v/>
      </c>
      <c r="E14">
        <f>(C13+C14)/2/12</f>
        <v/>
      </c>
      <c r="F14">
        <f>(D13+D14)/2/12</f>
        <v/>
      </c>
    </row>
    <row r="15">
      <c r="A15" t="n">
        <v>13</v>
      </c>
      <c r="B15">
        <f>A15/12</f>
        <v/>
      </c>
      <c r="C15">
        <f>IF(B15=0,1,IF(Inputs!$B$3="weibull",EXP(-(B15/CHOOSE(MATCH(Inputs!$B$3,{"weibull","lognormal","loglogistic"},0),Inputs!$F$7,Inputs!$F$9,Inputs!$F$11))^CHOOSE(MATCH(Inputs!$B$3,{"weibull","lognormal","loglogistic"},0),Inputs!$D$7,Inputs!$D$9,Inputs!$D$11)),IF(Inputs!$B$3="loglogistic",1/(1+(B15/CHOOSE(MATCH(Inputs!$B$3,{"weibull","lognormal","loglogistic"},0),Inputs!$F$7,Inputs!$F$9,Inputs!$F$11))^CHOOSE(MATCH(Inputs!$B$3,{"weibull","lognormal","loglogistic"},0),Inputs!$D$7,Inputs!$D$9,Inputs!$D$11)),1-NORM.S.DIST((LN(B15)-CHOOSE(MATCH(Inputs!$B$3,{"weibull","lognormal","loglogistic"},0),Inputs!$D$7,Inputs!$D$9,Inputs!$D$11))/CHOOSE(MATCH(Inputs!$B$3,{"weibull","lognormal","loglogistic"},0),Inputs!$F$7,Inputs!$F$9,Inputs!$F$11),TRUE))))</f>
        <v/>
      </c>
      <c r="D15">
        <f>IF(B15=0,1,IF(Inputs!$B$3="weibull",EXP(-(B15/CHOOSE(MATCH(Inputs!$B$3,{"weibull","lognormal","loglogistic"},0),Inputs!$F$8,Inputs!$F$10,Inputs!$F$12))^CHOOSE(MATCH(Inputs!$B$3,{"weibull","lognormal","loglogistic"},0),Inputs!$D$8,Inputs!$D$10,Inputs!$D$12)),IF(Inputs!$B$3="loglogistic",1/(1+(B15/CHOOSE(MATCH(Inputs!$B$3,{"weibull","lognormal","loglogistic"},0),Inputs!$F$8,Inputs!$F$10,Inputs!$F$12))^CHOOSE(MATCH(Inputs!$B$3,{"weibull","lognormal","loglogistic"},0),Inputs!$D$8,Inputs!$D$10,Inputs!$D$12)),1-NORM.S.DIST((LN(B15)-CHOOSE(MATCH(Inputs!$B$3,{"weibull","lognormal","loglogistic"},0),Inputs!$D$8,Inputs!$D$10,Inputs!$D$12))/CHOOSE(MATCH(Inputs!$B$3,{"weibull","lognormal","loglogistic"},0),Inputs!$F$8,Inputs!$F$10,Inputs!$F$12),TRUE))))</f>
        <v/>
      </c>
      <c r="E15">
        <f>(C14+C15)/2/12</f>
        <v/>
      </c>
      <c r="F15">
        <f>(D14+D15)/2/12</f>
        <v/>
      </c>
    </row>
    <row r="16">
      <c r="A16" t="n">
        <v>14</v>
      </c>
      <c r="B16">
        <f>A16/12</f>
        <v/>
      </c>
      <c r="C16">
        <f>IF(B16=0,1,IF(Inputs!$B$3="weibull",EXP(-(B16/CHOOSE(MATCH(Inputs!$B$3,{"weibull","lognormal","loglogistic"},0),Inputs!$F$7,Inputs!$F$9,Inputs!$F$11))^CHOOSE(MATCH(Inputs!$B$3,{"weibull","lognormal","loglogistic"},0),Inputs!$D$7,Inputs!$D$9,Inputs!$D$11)),IF(Inputs!$B$3="loglogistic",1/(1+(B16/CHOOSE(MATCH(Inputs!$B$3,{"weibull","lognormal","loglogistic"},0),Inputs!$F$7,Inputs!$F$9,Inputs!$F$11))^CHOOSE(MATCH(Inputs!$B$3,{"weibull","lognormal","loglogistic"},0),Inputs!$D$7,Inputs!$D$9,Inputs!$D$11)),1-NORM.S.DIST((LN(B16)-CHOOSE(MATCH(Inputs!$B$3,{"weibull","lognormal","loglogistic"},0),Inputs!$D$7,Inputs!$D$9,Inputs!$D$11))/CHOOSE(MATCH(Inputs!$B$3,{"weibull","lognormal","loglogistic"},0),Inputs!$F$7,Inputs!$F$9,Inputs!$F$11),TRUE))))</f>
        <v/>
      </c>
      <c r="D16">
        <f>IF(B16=0,1,IF(Inputs!$B$3="weibull",EXP(-(B16/CHOOSE(MATCH(Inputs!$B$3,{"weibull","lognormal","loglogistic"},0),Inputs!$F$8,Inputs!$F$10,Inputs!$F$12))^CHOOSE(MATCH(Inputs!$B$3,{"weibull","lognormal","loglogistic"},0),Inputs!$D$8,Inputs!$D$10,Inputs!$D$12)),IF(Inputs!$B$3="loglogistic",1/(1+(B16/CHOOSE(MATCH(Inputs!$B$3,{"weibull","lognormal","loglogistic"},0),Inputs!$F$8,Inputs!$F$10,Inputs!$F$12))^CHOOSE(MATCH(Inputs!$B$3,{"weibull","lognormal","loglogistic"},0),Inputs!$D$8,Inputs!$D$10,Inputs!$D$12)),1-NORM.S.DIST((LN(B16)-CHOOSE(MATCH(Inputs!$B$3,{"weibull","lognormal","loglogistic"},0),Inputs!$D$8,Inputs!$D$10,Inputs!$D$12))/CHOOSE(MATCH(Inputs!$B$3,{"weibull","lognormal","loglogistic"},0),Inputs!$F$8,Inputs!$F$10,Inputs!$F$12),TRUE))))</f>
        <v/>
      </c>
      <c r="E16">
        <f>(C15+C16)/2/12</f>
        <v/>
      </c>
      <c r="F16">
        <f>(D15+D16)/2/12</f>
        <v/>
      </c>
    </row>
    <row r="17">
      <c r="A17" t="n">
        <v>15</v>
      </c>
      <c r="B17">
        <f>A17/12</f>
        <v/>
      </c>
      <c r="C17">
        <f>IF(B17=0,1,IF(Inputs!$B$3="weibull",EXP(-(B17/CHOOSE(MATCH(Inputs!$B$3,{"weibull","lognormal","loglogistic"},0),Inputs!$F$7,Inputs!$F$9,Inputs!$F$11))^CHOOSE(MATCH(Inputs!$B$3,{"weibull","lognormal","loglogistic"},0),Inputs!$D$7,Inputs!$D$9,Inputs!$D$11)),IF(Inputs!$B$3="loglogistic",1/(1+(B17/CHOOSE(MATCH(Inputs!$B$3,{"weibull","lognormal","loglogistic"},0),Inputs!$F$7,Inputs!$F$9,Inputs!$F$11))^CHOOSE(MATCH(Inputs!$B$3,{"weibull","lognormal","loglogistic"},0),Inputs!$D$7,Inputs!$D$9,Inputs!$D$11)),1-NORM.S.DIST((LN(B17)-CHOOSE(MATCH(Inputs!$B$3,{"weibull","lognormal","loglogistic"},0),Inputs!$D$7,Inputs!$D$9,Inputs!$D$11))/CHOOSE(MATCH(Inputs!$B$3,{"weibull","lognormal","loglogistic"},0),Inputs!$F$7,Inputs!$F$9,Inputs!$F$11),TRUE))))</f>
        <v/>
      </c>
      <c r="D17">
        <f>IF(B17=0,1,IF(Inputs!$B$3="weibull",EXP(-(B17/CHOOSE(MATCH(Inputs!$B$3,{"weibull","lognormal","loglogistic"},0),Inputs!$F$8,Inputs!$F$10,Inputs!$F$12))^CHOOSE(MATCH(Inputs!$B$3,{"weibull","lognormal","loglogistic"},0),Inputs!$D$8,Inputs!$D$10,Inputs!$D$12)),IF(Inputs!$B$3="loglogistic",1/(1+(B17/CHOOSE(MATCH(Inputs!$B$3,{"weibull","lognormal","loglogistic"},0),Inputs!$F$8,Inputs!$F$10,Inputs!$F$12))^CHOOSE(MATCH(Inputs!$B$3,{"weibull","lognormal","loglogistic"},0),Inputs!$D$8,Inputs!$D$10,Inputs!$D$12)),1-NORM.S.DIST((LN(B17)-CHOOSE(MATCH(Inputs!$B$3,{"weibull","lognormal","loglogistic"},0),Inputs!$D$8,Inputs!$D$10,Inputs!$D$12))/CHOOSE(MATCH(Inputs!$B$3,{"weibull","lognormal","loglogistic"},0),Inputs!$F$8,Inputs!$F$10,Inputs!$F$12),TRUE))))</f>
        <v/>
      </c>
      <c r="E17">
        <f>(C16+C17)/2/12</f>
        <v/>
      </c>
      <c r="F17">
        <f>(D16+D17)/2/12</f>
        <v/>
      </c>
    </row>
    <row r="18">
      <c r="A18" t="n">
        <v>16</v>
      </c>
      <c r="B18">
        <f>A18/12</f>
        <v/>
      </c>
      <c r="C18">
        <f>IF(B18=0,1,IF(Inputs!$B$3="weibull",EXP(-(B18/CHOOSE(MATCH(Inputs!$B$3,{"weibull","lognormal","loglogistic"},0),Inputs!$F$7,Inputs!$F$9,Inputs!$F$11))^CHOOSE(MATCH(Inputs!$B$3,{"weibull","lognormal","loglogistic"},0),Inputs!$D$7,Inputs!$D$9,Inputs!$D$11)),IF(Inputs!$B$3="loglogistic",1/(1+(B18/CHOOSE(MATCH(Inputs!$B$3,{"weibull","lognormal","loglogistic"},0),Inputs!$F$7,Inputs!$F$9,Inputs!$F$11))^CHOOSE(MATCH(Inputs!$B$3,{"weibull","lognormal","loglogistic"},0),Inputs!$D$7,Inputs!$D$9,Inputs!$D$11)),1-NORM.S.DIST((LN(B18)-CHOOSE(MATCH(Inputs!$B$3,{"weibull","lognormal","loglogistic"},0),Inputs!$D$7,Inputs!$D$9,Inputs!$D$11))/CHOOSE(MATCH(Inputs!$B$3,{"weibull","lognormal","loglogistic"},0),Inputs!$F$7,Inputs!$F$9,Inputs!$F$11),TRUE))))</f>
        <v/>
      </c>
      <c r="D18">
        <f>IF(B18=0,1,IF(Inputs!$B$3="weibull",EXP(-(B18/CHOOSE(MATCH(Inputs!$B$3,{"weibull","lognormal","loglogistic"},0),Inputs!$F$8,Inputs!$F$10,Inputs!$F$12))^CHOOSE(MATCH(Inputs!$B$3,{"weibull","lognormal","loglogistic"},0),Inputs!$D$8,Inputs!$D$10,Inputs!$D$12)),IF(Inputs!$B$3="loglogistic",1/(1+(B18/CHOOSE(MATCH(Inputs!$B$3,{"weibull","lognormal","loglogistic"},0),Inputs!$F$8,Inputs!$F$10,Inputs!$F$12))^CHOOSE(MATCH(Inputs!$B$3,{"weibull","lognormal","loglogistic"},0),Inputs!$D$8,Inputs!$D$10,Inputs!$D$12)),1-NORM.S.DIST((LN(B18)-CHOOSE(MATCH(Inputs!$B$3,{"weibull","lognormal","loglogistic"},0),Inputs!$D$8,Inputs!$D$10,Inputs!$D$12))/CHOOSE(MATCH(Inputs!$B$3,{"weibull","lognormal","loglogistic"},0),Inputs!$F$8,Inputs!$F$10,Inputs!$F$12),TRUE))))</f>
        <v/>
      </c>
      <c r="E18">
        <f>(C17+C18)/2/12</f>
        <v/>
      </c>
      <c r="F18">
        <f>(D17+D18)/2/12</f>
        <v/>
      </c>
    </row>
    <row r="19">
      <c r="A19" t="n">
        <v>17</v>
      </c>
      <c r="B19">
        <f>A19/12</f>
        <v/>
      </c>
      <c r="C19">
        <f>IF(B19=0,1,IF(Inputs!$B$3="weibull",EXP(-(B19/CHOOSE(MATCH(Inputs!$B$3,{"weibull","lognormal","loglogistic"},0),Inputs!$F$7,Inputs!$F$9,Inputs!$F$11))^CHOOSE(MATCH(Inputs!$B$3,{"weibull","lognormal","loglogistic"},0),Inputs!$D$7,Inputs!$D$9,Inputs!$D$11)),IF(Inputs!$B$3="loglogistic",1/(1+(B19/CHOOSE(MATCH(Inputs!$B$3,{"weibull","lognormal","loglogistic"},0),Inputs!$F$7,Inputs!$F$9,Inputs!$F$11))^CHOOSE(MATCH(Inputs!$B$3,{"weibull","lognormal","loglogistic"},0),Inputs!$D$7,Inputs!$D$9,Inputs!$D$11)),1-NORM.S.DIST((LN(B19)-CHOOSE(MATCH(Inputs!$B$3,{"weibull","lognormal","loglogistic"},0),Inputs!$D$7,Inputs!$D$9,Inputs!$D$11))/CHOOSE(MATCH(Inputs!$B$3,{"weibull","lognormal","loglogistic"},0),Inputs!$F$7,Inputs!$F$9,Inputs!$F$11),TRUE))))</f>
        <v/>
      </c>
      <c r="D19">
        <f>IF(B19=0,1,IF(Inputs!$B$3="weibull",EXP(-(B19/CHOOSE(MATCH(Inputs!$B$3,{"weibull","lognormal","loglogistic"},0),Inputs!$F$8,Inputs!$F$10,Inputs!$F$12))^CHOOSE(MATCH(Inputs!$B$3,{"weibull","lognormal","loglogistic"},0),Inputs!$D$8,Inputs!$D$10,Inputs!$D$12)),IF(Inputs!$B$3="loglogistic",1/(1+(B19/CHOOSE(MATCH(Inputs!$B$3,{"weibull","lognormal","loglogistic"},0),Inputs!$F$8,Inputs!$F$10,Inputs!$F$12))^CHOOSE(MATCH(Inputs!$B$3,{"weibull","lognormal","loglogistic"},0),Inputs!$D$8,Inputs!$D$10,Inputs!$D$12)),1-NORM.S.DIST((LN(B19)-CHOOSE(MATCH(Inputs!$B$3,{"weibull","lognormal","loglogistic"},0),Inputs!$D$8,Inputs!$D$10,Inputs!$D$12))/CHOOSE(MATCH(Inputs!$B$3,{"weibull","lognormal","loglogistic"},0),Inputs!$F$8,Inputs!$F$10,Inputs!$F$12),TRUE))))</f>
        <v/>
      </c>
      <c r="E19">
        <f>(C18+C19)/2/12</f>
        <v/>
      </c>
      <c r="F19">
        <f>(D18+D19)/2/12</f>
        <v/>
      </c>
    </row>
    <row r="20">
      <c r="A20" t="n">
        <v>18</v>
      </c>
      <c r="B20">
        <f>A20/12</f>
        <v/>
      </c>
      <c r="C20">
        <f>IF(B20=0,1,IF(Inputs!$B$3="weibull",EXP(-(B20/CHOOSE(MATCH(Inputs!$B$3,{"weibull","lognormal","loglogistic"},0),Inputs!$F$7,Inputs!$F$9,Inputs!$F$11))^CHOOSE(MATCH(Inputs!$B$3,{"weibull","lognormal","loglogistic"},0),Inputs!$D$7,Inputs!$D$9,Inputs!$D$11)),IF(Inputs!$B$3="loglogistic",1/(1+(B20/CHOOSE(MATCH(Inputs!$B$3,{"weibull","lognormal","loglogistic"},0),Inputs!$F$7,Inputs!$F$9,Inputs!$F$11))^CHOOSE(MATCH(Inputs!$B$3,{"weibull","lognormal","loglogistic"},0),Inputs!$D$7,Inputs!$D$9,Inputs!$D$11)),1-NORM.S.DIST((LN(B20)-CHOOSE(MATCH(Inputs!$B$3,{"weibull","lognormal","loglogistic"},0),Inputs!$D$7,Inputs!$D$9,Inputs!$D$11))/CHOOSE(MATCH(Inputs!$B$3,{"weibull","lognormal","loglogistic"},0),Inputs!$F$7,Inputs!$F$9,Inputs!$F$11),TRUE))))</f>
        <v/>
      </c>
      <c r="D20">
        <f>IF(B20=0,1,IF(Inputs!$B$3="weibull",EXP(-(B20/CHOOSE(MATCH(Inputs!$B$3,{"weibull","lognormal","loglogistic"},0),Inputs!$F$8,Inputs!$F$10,Inputs!$F$12))^CHOOSE(MATCH(Inputs!$B$3,{"weibull","lognormal","loglogistic"},0),Inputs!$D$8,Inputs!$D$10,Inputs!$D$12)),IF(Inputs!$B$3="loglogistic",1/(1+(B20/CHOOSE(MATCH(Inputs!$B$3,{"weibull","lognormal","loglogistic"},0),Inputs!$F$8,Inputs!$F$10,Inputs!$F$12))^CHOOSE(MATCH(Inputs!$B$3,{"weibull","lognormal","loglogistic"},0),Inputs!$D$8,Inputs!$D$10,Inputs!$D$12)),1-NORM.S.DIST((LN(B20)-CHOOSE(MATCH(Inputs!$B$3,{"weibull","lognormal","loglogistic"},0),Inputs!$D$8,Inputs!$D$10,Inputs!$D$12))/CHOOSE(MATCH(Inputs!$B$3,{"weibull","lognormal","loglogistic"},0),Inputs!$F$8,Inputs!$F$10,Inputs!$F$12),TRUE))))</f>
        <v/>
      </c>
      <c r="E20">
        <f>(C19+C20)/2/12</f>
        <v/>
      </c>
      <c r="F20">
        <f>(D19+D20)/2/12</f>
        <v/>
      </c>
    </row>
    <row r="21">
      <c r="A21" t="n">
        <v>19</v>
      </c>
      <c r="B21">
        <f>A21/12</f>
        <v/>
      </c>
      <c r="C21">
        <f>IF(B21=0,1,IF(Inputs!$B$3="weibull",EXP(-(B21/CHOOSE(MATCH(Inputs!$B$3,{"weibull","lognormal","loglogistic"},0),Inputs!$F$7,Inputs!$F$9,Inputs!$F$11))^CHOOSE(MATCH(Inputs!$B$3,{"weibull","lognormal","loglogistic"},0),Inputs!$D$7,Inputs!$D$9,Inputs!$D$11)),IF(Inputs!$B$3="loglogistic",1/(1+(B21/CHOOSE(MATCH(Inputs!$B$3,{"weibull","lognormal","loglogistic"},0),Inputs!$F$7,Inputs!$F$9,Inputs!$F$11))^CHOOSE(MATCH(Inputs!$B$3,{"weibull","lognormal","loglogistic"},0),Inputs!$D$7,Inputs!$D$9,Inputs!$D$11)),1-NORM.S.DIST((LN(B21)-CHOOSE(MATCH(Inputs!$B$3,{"weibull","lognormal","loglogistic"},0),Inputs!$D$7,Inputs!$D$9,Inputs!$D$11))/CHOOSE(MATCH(Inputs!$B$3,{"weibull","lognormal","loglogistic"},0),Inputs!$F$7,Inputs!$F$9,Inputs!$F$11),TRUE))))</f>
        <v/>
      </c>
      <c r="D21">
        <f>IF(B21=0,1,IF(Inputs!$B$3="weibull",EXP(-(B21/CHOOSE(MATCH(Inputs!$B$3,{"weibull","lognormal","loglogistic"},0),Inputs!$F$8,Inputs!$F$10,Inputs!$F$12))^CHOOSE(MATCH(Inputs!$B$3,{"weibull","lognormal","loglogistic"},0),Inputs!$D$8,Inputs!$D$10,Inputs!$D$12)),IF(Inputs!$B$3="loglogistic",1/(1+(B21/CHOOSE(MATCH(Inputs!$B$3,{"weibull","lognormal","loglogistic"},0),Inputs!$F$8,Inputs!$F$10,Inputs!$F$12))^CHOOSE(MATCH(Inputs!$B$3,{"weibull","lognormal","loglogistic"},0),Inputs!$D$8,Inputs!$D$10,Inputs!$D$12)),1-NORM.S.DIST((LN(B21)-CHOOSE(MATCH(Inputs!$B$3,{"weibull","lognormal","loglogistic"},0),Inputs!$D$8,Inputs!$D$10,Inputs!$D$12))/CHOOSE(MATCH(Inputs!$B$3,{"weibull","lognormal","loglogistic"},0),Inputs!$F$8,Inputs!$F$10,Inputs!$F$12),TRUE))))</f>
        <v/>
      </c>
      <c r="E21">
        <f>(C20+C21)/2/12</f>
        <v/>
      </c>
      <c r="F21">
        <f>(D20+D21)/2/12</f>
        <v/>
      </c>
    </row>
    <row r="22">
      <c r="A22" t="n">
        <v>20</v>
      </c>
      <c r="B22">
        <f>A22/12</f>
        <v/>
      </c>
      <c r="C22">
        <f>IF(B22=0,1,IF(Inputs!$B$3="weibull",EXP(-(B22/CHOOSE(MATCH(Inputs!$B$3,{"weibull","lognormal","loglogistic"},0),Inputs!$F$7,Inputs!$F$9,Inputs!$F$11))^CHOOSE(MATCH(Inputs!$B$3,{"weibull","lognormal","loglogistic"},0),Inputs!$D$7,Inputs!$D$9,Inputs!$D$11)),IF(Inputs!$B$3="loglogistic",1/(1+(B22/CHOOSE(MATCH(Inputs!$B$3,{"weibull","lognormal","loglogistic"},0),Inputs!$F$7,Inputs!$F$9,Inputs!$F$11))^CHOOSE(MATCH(Inputs!$B$3,{"weibull","lognormal","loglogistic"},0),Inputs!$D$7,Inputs!$D$9,Inputs!$D$11)),1-NORM.S.DIST((LN(B22)-CHOOSE(MATCH(Inputs!$B$3,{"weibull","lognormal","loglogistic"},0),Inputs!$D$7,Inputs!$D$9,Inputs!$D$11))/CHOOSE(MATCH(Inputs!$B$3,{"weibull","lognormal","loglogistic"},0),Inputs!$F$7,Inputs!$F$9,Inputs!$F$11),TRUE))))</f>
        <v/>
      </c>
      <c r="D22">
        <f>IF(B22=0,1,IF(Inputs!$B$3="weibull",EXP(-(B22/CHOOSE(MATCH(Inputs!$B$3,{"weibull","lognormal","loglogistic"},0),Inputs!$F$8,Inputs!$F$10,Inputs!$F$12))^CHOOSE(MATCH(Inputs!$B$3,{"weibull","lognormal","loglogistic"},0),Inputs!$D$8,Inputs!$D$10,Inputs!$D$12)),IF(Inputs!$B$3="loglogistic",1/(1+(B22/CHOOSE(MATCH(Inputs!$B$3,{"weibull","lognormal","loglogistic"},0),Inputs!$F$8,Inputs!$F$10,Inputs!$F$12))^CHOOSE(MATCH(Inputs!$B$3,{"weibull","lognormal","loglogistic"},0),Inputs!$D$8,Inputs!$D$10,Inputs!$D$12)),1-NORM.S.DIST((LN(B22)-CHOOSE(MATCH(Inputs!$B$3,{"weibull","lognormal","loglogistic"},0),Inputs!$D$8,Inputs!$D$10,Inputs!$D$12))/CHOOSE(MATCH(Inputs!$B$3,{"weibull","lognormal","loglogistic"},0),Inputs!$F$8,Inputs!$F$10,Inputs!$F$12),TRUE))))</f>
        <v/>
      </c>
      <c r="E22">
        <f>(C21+C22)/2/12</f>
        <v/>
      </c>
      <c r="F22">
        <f>(D21+D22)/2/12</f>
        <v/>
      </c>
    </row>
    <row r="23">
      <c r="A23" t="n">
        <v>21</v>
      </c>
      <c r="B23">
        <f>A23/12</f>
        <v/>
      </c>
      <c r="C23">
        <f>IF(B23=0,1,IF(Inputs!$B$3="weibull",EXP(-(B23/CHOOSE(MATCH(Inputs!$B$3,{"weibull","lognormal","loglogistic"},0),Inputs!$F$7,Inputs!$F$9,Inputs!$F$11))^CHOOSE(MATCH(Inputs!$B$3,{"weibull","lognormal","loglogistic"},0),Inputs!$D$7,Inputs!$D$9,Inputs!$D$11)),IF(Inputs!$B$3="loglogistic",1/(1+(B23/CHOOSE(MATCH(Inputs!$B$3,{"weibull","lognormal","loglogistic"},0),Inputs!$F$7,Inputs!$F$9,Inputs!$F$11))^CHOOSE(MATCH(Inputs!$B$3,{"weibull","lognormal","loglogistic"},0),Inputs!$D$7,Inputs!$D$9,Inputs!$D$11)),1-NORM.S.DIST((LN(B23)-CHOOSE(MATCH(Inputs!$B$3,{"weibull","lognormal","loglogistic"},0),Inputs!$D$7,Inputs!$D$9,Inputs!$D$11))/CHOOSE(MATCH(Inputs!$B$3,{"weibull","lognormal","loglogistic"},0),Inputs!$F$7,Inputs!$F$9,Inputs!$F$11),TRUE))))</f>
        <v/>
      </c>
      <c r="D23">
        <f>IF(B23=0,1,IF(Inputs!$B$3="weibull",EXP(-(B23/CHOOSE(MATCH(Inputs!$B$3,{"weibull","lognormal","loglogistic"},0),Inputs!$F$8,Inputs!$F$10,Inputs!$F$12))^CHOOSE(MATCH(Inputs!$B$3,{"weibull","lognormal","loglogistic"},0),Inputs!$D$8,Inputs!$D$10,Inputs!$D$12)),IF(Inputs!$B$3="loglogistic",1/(1+(B23/CHOOSE(MATCH(Inputs!$B$3,{"weibull","lognormal","loglogistic"},0),Inputs!$F$8,Inputs!$F$10,Inputs!$F$12))^CHOOSE(MATCH(Inputs!$B$3,{"weibull","lognormal","loglogistic"},0),Inputs!$D$8,Inputs!$D$10,Inputs!$D$12)),1-NORM.S.DIST((LN(B23)-CHOOSE(MATCH(Inputs!$B$3,{"weibull","lognormal","loglogistic"},0),Inputs!$D$8,Inputs!$D$10,Inputs!$D$12))/CHOOSE(MATCH(Inputs!$B$3,{"weibull","lognormal","loglogistic"},0),Inputs!$F$8,Inputs!$F$10,Inputs!$F$12),TRUE))))</f>
        <v/>
      </c>
      <c r="E23">
        <f>(C22+C23)/2/12</f>
        <v/>
      </c>
      <c r="F23">
        <f>(D22+D23)/2/12</f>
        <v/>
      </c>
    </row>
    <row r="24">
      <c r="A24" t="n">
        <v>22</v>
      </c>
      <c r="B24">
        <f>A24/12</f>
        <v/>
      </c>
      <c r="C24">
        <f>IF(B24=0,1,IF(Inputs!$B$3="weibull",EXP(-(B24/CHOOSE(MATCH(Inputs!$B$3,{"weibull","lognormal","loglogistic"},0),Inputs!$F$7,Inputs!$F$9,Inputs!$F$11))^CHOOSE(MATCH(Inputs!$B$3,{"weibull","lognormal","loglogistic"},0),Inputs!$D$7,Inputs!$D$9,Inputs!$D$11)),IF(Inputs!$B$3="loglogistic",1/(1+(B24/CHOOSE(MATCH(Inputs!$B$3,{"weibull","lognormal","loglogistic"},0),Inputs!$F$7,Inputs!$F$9,Inputs!$F$11))^CHOOSE(MATCH(Inputs!$B$3,{"weibull","lognormal","loglogistic"},0),Inputs!$D$7,Inputs!$D$9,Inputs!$D$11)),1-NORM.S.DIST((LN(B24)-CHOOSE(MATCH(Inputs!$B$3,{"weibull","lognormal","loglogistic"},0),Inputs!$D$7,Inputs!$D$9,Inputs!$D$11))/CHOOSE(MATCH(Inputs!$B$3,{"weibull","lognormal","loglogistic"},0),Inputs!$F$7,Inputs!$F$9,Inputs!$F$11),TRUE))))</f>
        <v/>
      </c>
      <c r="D24">
        <f>IF(B24=0,1,IF(Inputs!$B$3="weibull",EXP(-(B24/CHOOSE(MATCH(Inputs!$B$3,{"weibull","lognormal","loglogistic"},0),Inputs!$F$8,Inputs!$F$10,Inputs!$F$12))^CHOOSE(MATCH(Inputs!$B$3,{"weibull","lognormal","loglogistic"},0),Inputs!$D$8,Inputs!$D$10,Inputs!$D$12)),IF(Inputs!$B$3="loglogistic",1/(1+(B24/CHOOSE(MATCH(Inputs!$B$3,{"weibull","lognormal","loglogistic"},0),Inputs!$F$8,Inputs!$F$10,Inputs!$F$12))^CHOOSE(MATCH(Inputs!$B$3,{"weibull","lognormal","loglogistic"},0),Inputs!$D$8,Inputs!$D$10,Inputs!$D$12)),1-NORM.S.DIST((LN(B24)-CHOOSE(MATCH(Inputs!$B$3,{"weibull","lognormal","loglogistic"},0),Inputs!$D$8,Inputs!$D$10,Inputs!$D$12))/CHOOSE(MATCH(Inputs!$B$3,{"weibull","lognormal","loglogistic"},0),Inputs!$F$8,Inputs!$F$10,Inputs!$F$12),TRUE))))</f>
        <v/>
      </c>
      <c r="E24">
        <f>(C23+C24)/2/12</f>
        <v/>
      </c>
      <c r="F24">
        <f>(D23+D24)/2/12</f>
        <v/>
      </c>
    </row>
    <row r="25">
      <c r="A25" t="n">
        <v>23</v>
      </c>
      <c r="B25">
        <f>A25/12</f>
        <v/>
      </c>
      <c r="C25">
        <f>IF(B25=0,1,IF(Inputs!$B$3="weibull",EXP(-(B25/CHOOSE(MATCH(Inputs!$B$3,{"weibull","lognormal","loglogistic"},0),Inputs!$F$7,Inputs!$F$9,Inputs!$F$11))^CHOOSE(MATCH(Inputs!$B$3,{"weibull","lognormal","loglogistic"},0),Inputs!$D$7,Inputs!$D$9,Inputs!$D$11)),IF(Inputs!$B$3="loglogistic",1/(1+(B25/CHOOSE(MATCH(Inputs!$B$3,{"weibull","lognormal","loglogistic"},0),Inputs!$F$7,Inputs!$F$9,Inputs!$F$11))^CHOOSE(MATCH(Inputs!$B$3,{"weibull","lognormal","loglogistic"},0),Inputs!$D$7,Inputs!$D$9,Inputs!$D$11)),1-NORM.S.DIST((LN(B25)-CHOOSE(MATCH(Inputs!$B$3,{"weibull","lognormal","loglogistic"},0),Inputs!$D$7,Inputs!$D$9,Inputs!$D$11))/CHOOSE(MATCH(Inputs!$B$3,{"weibull","lognormal","loglogistic"},0),Inputs!$F$7,Inputs!$F$9,Inputs!$F$11),TRUE))))</f>
        <v/>
      </c>
      <c r="D25">
        <f>IF(B25=0,1,IF(Inputs!$B$3="weibull",EXP(-(B25/CHOOSE(MATCH(Inputs!$B$3,{"weibull","lognormal","loglogistic"},0),Inputs!$F$8,Inputs!$F$10,Inputs!$F$12))^CHOOSE(MATCH(Inputs!$B$3,{"weibull","lognormal","loglogistic"},0),Inputs!$D$8,Inputs!$D$10,Inputs!$D$12)),IF(Inputs!$B$3="loglogistic",1/(1+(B25/CHOOSE(MATCH(Inputs!$B$3,{"weibull","lognormal","loglogistic"},0),Inputs!$F$8,Inputs!$F$10,Inputs!$F$12))^CHOOSE(MATCH(Inputs!$B$3,{"weibull","lognormal","loglogistic"},0),Inputs!$D$8,Inputs!$D$10,Inputs!$D$12)),1-NORM.S.DIST((LN(B25)-CHOOSE(MATCH(Inputs!$B$3,{"weibull","lognormal","loglogistic"},0),Inputs!$D$8,Inputs!$D$10,Inputs!$D$12))/CHOOSE(MATCH(Inputs!$B$3,{"weibull","lognormal","loglogistic"},0),Inputs!$F$8,Inputs!$F$10,Inputs!$F$12),TRUE))))</f>
        <v/>
      </c>
      <c r="E25">
        <f>(C24+C25)/2/12</f>
        <v/>
      </c>
      <c r="F25">
        <f>(D24+D25)/2/12</f>
        <v/>
      </c>
    </row>
    <row r="26">
      <c r="A26" t="n">
        <v>24</v>
      </c>
      <c r="B26">
        <f>A26/12</f>
        <v/>
      </c>
      <c r="C26">
        <f>IF(B26=0,1,IF(Inputs!$B$3="weibull",EXP(-(B26/CHOOSE(MATCH(Inputs!$B$3,{"weibull","lognormal","loglogistic"},0),Inputs!$F$7,Inputs!$F$9,Inputs!$F$11))^CHOOSE(MATCH(Inputs!$B$3,{"weibull","lognormal","loglogistic"},0),Inputs!$D$7,Inputs!$D$9,Inputs!$D$11)),IF(Inputs!$B$3="loglogistic",1/(1+(B26/CHOOSE(MATCH(Inputs!$B$3,{"weibull","lognormal","loglogistic"},0),Inputs!$F$7,Inputs!$F$9,Inputs!$F$11))^CHOOSE(MATCH(Inputs!$B$3,{"weibull","lognormal","loglogistic"},0),Inputs!$D$7,Inputs!$D$9,Inputs!$D$11)),1-NORM.S.DIST((LN(B26)-CHOOSE(MATCH(Inputs!$B$3,{"weibull","lognormal","loglogistic"},0),Inputs!$D$7,Inputs!$D$9,Inputs!$D$11))/CHOOSE(MATCH(Inputs!$B$3,{"weibull","lognormal","loglogistic"},0),Inputs!$F$7,Inputs!$F$9,Inputs!$F$11),TRUE))))</f>
        <v/>
      </c>
      <c r="D26">
        <f>IF(B26=0,1,IF(Inputs!$B$3="weibull",EXP(-(B26/CHOOSE(MATCH(Inputs!$B$3,{"weibull","lognormal","loglogistic"},0),Inputs!$F$8,Inputs!$F$10,Inputs!$F$12))^CHOOSE(MATCH(Inputs!$B$3,{"weibull","lognormal","loglogistic"},0),Inputs!$D$8,Inputs!$D$10,Inputs!$D$12)),IF(Inputs!$B$3="loglogistic",1/(1+(B26/CHOOSE(MATCH(Inputs!$B$3,{"weibull","lognormal","loglogistic"},0),Inputs!$F$8,Inputs!$F$10,Inputs!$F$12))^CHOOSE(MATCH(Inputs!$B$3,{"weibull","lognormal","loglogistic"},0),Inputs!$D$8,Inputs!$D$10,Inputs!$D$12)),1-NORM.S.DIST((LN(B26)-CHOOSE(MATCH(Inputs!$B$3,{"weibull","lognormal","loglogistic"},0),Inputs!$D$8,Inputs!$D$10,Inputs!$D$12))/CHOOSE(MATCH(Inputs!$B$3,{"weibull","lognormal","loglogistic"},0),Inputs!$F$8,Inputs!$F$10,Inputs!$F$12),TRUE))))</f>
        <v/>
      </c>
      <c r="E26">
        <f>(C25+C26)/2/12</f>
        <v/>
      </c>
      <c r="F26">
        <f>(D25+D26)/2/12</f>
        <v/>
      </c>
    </row>
    <row r="27">
      <c r="A27" t="n">
        <v>25</v>
      </c>
      <c r="B27">
        <f>A27/12</f>
        <v/>
      </c>
      <c r="C27">
        <f>IF(B27=0,1,IF(Inputs!$B$3="weibull",EXP(-(B27/CHOOSE(MATCH(Inputs!$B$3,{"weibull","lognormal","loglogistic"},0),Inputs!$F$7,Inputs!$F$9,Inputs!$F$11))^CHOOSE(MATCH(Inputs!$B$3,{"weibull","lognormal","loglogistic"},0),Inputs!$D$7,Inputs!$D$9,Inputs!$D$11)),IF(Inputs!$B$3="loglogistic",1/(1+(B27/CHOOSE(MATCH(Inputs!$B$3,{"weibull","lognormal","loglogistic"},0),Inputs!$F$7,Inputs!$F$9,Inputs!$F$11))^CHOOSE(MATCH(Inputs!$B$3,{"weibull","lognormal","loglogistic"},0),Inputs!$D$7,Inputs!$D$9,Inputs!$D$11)),1-NORM.S.DIST((LN(B27)-CHOOSE(MATCH(Inputs!$B$3,{"weibull","lognormal","loglogistic"},0),Inputs!$D$7,Inputs!$D$9,Inputs!$D$11))/CHOOSE(MATCH(Inputs!$B$3,{"weibull","lognormal","loglogistic"},0),Inputs!$F$7,Inputs!$F$9,Inputs!$F$11),TRUE))))</f>
        <v/>
      </c>
      <c r="D27">
        <f>IF(B27=0,1,IF(Inputs!$B$3="weibull",EXP(-(B27/CHOOSE(MATCH(Inputs!$B$3,{"weibull","lognormal","loglogistic"},0),Inputs!$F$8,Inputs!$F$10,Inputs!$F$12))^CHOOSE(MATCH(Inputs!$B$3,{"weibull","lognormal","loglogistic"},0),Inputs!$D$8,Inputs!$D$10,Inputs!$D$12)),IF(Inputs!$B$3="loglogistic",1/(1+(B27/CHOOSE(MATCH(Inputs!$B$3,{"weibull","lognormal","loglogistic"},0),Inputs!$F$8,Inputs!$F$10,Inputs!$F$12))^CHOOSE(MATCH(Inputs!$B$3,{"weibull","lognormal","loglogistic"},0),Inputs!$D$8,Inputs!$D$10,Inputs!$D$12)),1-NORM.S.DIST((LN(B27)-CHOOSE(MATCH(Inputs!$B$3,{"weibull","lognormal","loglogistic"},0),Inputs!$D$8,Inputs!$D$10,Inputs!$D$12))/CHOOSE(MATCH(Inputs!$B$3,{"weibull","lognormal","loglogistic"},0),Inputs!$F$8,Inputs!$F$10,Inputs!$F$12),TRUE))))</f>
        <v/>
      </c>
      <c r="E27">
        <f>(C26+C27)/2/12</f>
        <v/>
      </c>
      <c r="F27">
        <f>(D26+D27)/2/12</f>
        <v/>
      </c>
    </row>
    <row r="28">
      <c r="A28" t="n">
        <v>26</v>
      </c>
      <c r="B28">
        <f>A28/12</f>
        <v/>
      </c>
      <c r="C28">
        <f>IF(B28=0,1,IF(Inputs!$B$3="weibull",EXP(-(B28/CHOOSE(MATCH(Inputs!$B$3,{"weibull","lognormal","loglogistic"},0),Inputs!$F$7,Inputs!$F$9,Inputs!$F$11))^CHOOSE(MATCH(Inputs!$B$3,{"weibull","lognormal","loglogistic"},0),Inputs!$D$7,Inputs!$D$9,Inputs!$D$11)),IF(Inputs!$B$3="loglogistic",1/(1+(B28/CHOOSE(MATCH(Inputs!$B$3,{"weibull","lognormal","loglogistic"},0),Inputs!$F$7,Inputs!$F$9,Inputs!$F$11))^CHOOSE(MATCH(Inputs!$B$3,{"weibull","lognormal","loglogistic"},0),Inputs!$D$7,Inputs!$D$9,Inputs!$D$11)),1-NORM.S.DIST((LN(B28)-CHOOSE(MATCH(Inputs!$B$3,{"weibull","lognormal","loglogistic"},0),Inputs!$D$7,Inputs!$D$9,Inputs!$D$11))/CHOOSE(MATCH(Inputs!$B$3,{"weibull","lognormal","loglogistic"},0),Inputs!$F$7,Inputs!$F$9,Inputs!$F$11),TRUE))))</f>
        <v/>
      </c>
      <c r="D28">
        <f>IF(B28=0,1,IF(Inputs!$B$3="weibull",EXP(-(B28/CHOOSE(MATCH(Inputs!$B$3,{"weibull","lognormal","loglogistic"},0),Inputs!$F$8,Inputs!$F$10,Inputs!$F$12))^CHOOSE(MATCH(Inputs!$B$3,{"weibull","lognormal","loglogistic"},0),Inputs!$D$8,Inputs!$D$10,Inputs!$D$12)),IF(Inputs!$B$3="loglogistic",1/(1+(B28/CHOOSE(MATCH(Inputs!$B$3,{"weibull","lognormal","loglogistic"},0),Inputs!$F$8,Inputs!$F$10,Inputs!$F$12))^CHOOSE(MATCH(Inputs!$B$3,{"weibull","lognormal","loglogistic"},0),Inputs!$D$8,Inputs!$D$10,Inputs!$D$12)),1-NORM.S.DIST((LN(B28)-CHOOSE(MATCH(Inputs!$B$3,{"weibull","lognormal","loglogistic"},0),Inputs!$D$8,Inputs!$D$10,Inputs!$D$12))/CHOOSE(MATCH(Inputs!$B$3,{"weibull","lognormal","loglogistic"},0),Inputs!$F$8,Inputs!$F$10,Inputs!$F$12),TRUE))))</f>
        <v/>
      </c>
      <c r="E28">
        <f>(C27+C28)/2/12</f>
        <v/>
      </c>
      <c r="F28">
        <f>(D27+D28)/2/12</f>
        <v/>
      </c>
    </row>
    <row r="29">
      <c r="A29" t="n">
        <v>27</v>
      </c>
      <c r="B29">
        <f>A29/12</f>
        <v/>
      </c>
      <c r="C29">
        <f>IF(B29=0,1,IF(Inputs!$B$3="weibull",EXP(-(B29/CHOOSE(MATCH(Inputs!$B$3,{"weibull","lognormal","loglogistic"},0),Inputs!$F$7,Inputs!$F$9,Inputs!$F$11))^CHOOSE(MATCH(Inputs!$B$3,{"weibull","lognormal","loglogistic"},0),Inputs!$D$7,Inputs!$D$9,Inputs!$D$11)),IF(Inputs!$B$3="loglogistic",1/(1+(B29/CHOOSE(MATCH(Inputs!$B$3,{"weibull","lognormal","loglogistic"},0),Inputs!$F$7,Inputs!$F$9,Inputs!$F$11))^CHOOSE(MATCH(Inputs!$B$3,{"weibull","lognormal","loglogistic"},0),Inputs!$D$7,Inputs!$D$9,Inputs!$D$11)),1-NORM.S.DIST((LN(B29)-CHOOSE(MATCH(Inputs!$B$3,{"weibull","lognormal","loglogistic"},0),Inputs!$D$7,Inputs!$D$9,Inputs!$D$11))/CHOOSE(MATCH(Inputs!$B$3,{"weibull","lognormal","loglogistic"},0),Inputs!$F$7,Inputs!$F$9,Inputs!$F$11),TRUE))))</f>
        <v/>
      </c>
      <c r="D29">
        <f>IF(B29=0,1,IF(Inputs!$B$3="weibull",EXP(-(B29/CHOOSE(MATCH(Inputs!$B$3,{"weibull","lognormal","loglogistic"},0),Inputs!$F$8,Inputs!$F$10,Inputs!$F$12))^CHOOSE(MATCH(Inputs!$B$3,{"weibull","lognormal","loglogistic"},0),Inputs!$D$8,Inputs!$D$10,Inputs!$D$12)),IF(Inputs!$B$3="loglogistic",1/(1+(B29/CHOOSE(MATCH(Inputs!$B$3,{"weibull","lognormal","loglogistic"},0),Inputs!$F$8,Inputs!$F$10,Inputs!$F$12))^CHOOSE(MATCH(Inputs!$B$3,{"weibull","lognormal","loglogistic"},0),Inputs!$D$8,Inputs!$D$10,Inputs!$D$12)),1-NORM.S.DIST((LN(B29)-CHOOSE(MATCH(Inputs!$B$3,{"weibull","lognormal","loglogistic"},0),Inputs!$D$8,Inputs!$D$10,Inputs!$D$12))/CHOOSE(MATCH(Inputs!$B$3,{"weibull","lognormal","loglogistic"},0),Inputs!$F$8,Inputs!$F$10,Inputs!$F$12),TRUE))))</f>
        <v/>
      </c>
      <c r="E29">
        <f>(C28+C29)/2/12</f>
        <v/>
      </c>
      <c r="F29">
        <f>(D28+D29)/2/12</f>
        <v/>
      </c>
    </row>
    <row r="30">
      <c r="A30" t="n">
        <v>28</v>
      </c>
      <c r="B30">
        <f>A30/12</f>
        <v/>
      </c>
      <c r="C30">
        <f>IF(B30=0,1,IF(Inputs!$B$3="weibull",EXP(-(B30/CHOOSE(MATCH(Inputs!$B$3,{"weibull","lognormal","loglogistic"},0),Inputs!$F$7,Inputs!$F$9,Inputs!$F$11))^CHOOSE(MATCH(Inputs!$B$3,{"weibull","lognormal","loglogistic"},0),Inputs!$D$7,Inputs!$D$9,Inputs!$D$11)),IF(Inputs!$B$3="loglogistic",1/(1+(B30/CHOOSE(MATCH(Inputs!$B$3,{"weibull","lognormal","loglogistic"},0),Inputs!$F$7,Inputs!$F$9,Inputs!$F$11))^CHOOSE(MATCH(Inputs!$B$3,{"weibull","lognormal","loglogistic"},0),Inputs!$D$7,Inputs!$D$9,Inputs!$D$11)),1-NORM.S.DIST((LN(B30)-CHOOSE(MATCH(Inputs!$B$3,{"weibull","lognormal","loglogistic"},0),Inputs!$D$7,Inputs!$D$9,Inputs!$D$11))/CHOOSE(MATCH(Inputs!$B$3,{"weibull","lognormal","loglogistic"},0),Inputs!$F$7,Inputs!$F$9,Inputs!$F$11),TRUE))))</f>
        <v/>
      </c>
      <c r="D30">
        <f>IF(B30=0,1,IF(Inputs!$B$3="weibull",EXP(-(B30/CHOOSE(MATCH(Inputs!$B$3,{"weibull","lognormal","loglogistic"},0),Inputs!$F$8,Inputs!$F$10,Inputs!$F$12))^CHOOSE(MATCH(Inputs!$B$3,{"weibull","lognormal","loglogistic"},0),Inputs!$D$8,Inputs!$D$10,Inputs!$D$12)),IF(Inputs!$B$3="loglogistic",1/(1+(B30/CHOOSE(MATCH(Inputs!$B$3,{"weibull","lognormal","loglogistic"},0),Inputs!$F$8,Inputs!$F$10,Inputs!$F$12))^CHOOSE(MATCH(Inputs!$B$3,{"weibull","lognormal","loglogistic"},0),Inputs!$D$8,Inputs!$D$10,Inputs!$D$12)),1-NORM.S.DIST((LN(B30)-CHOOSE(MATCH(Inputs!$B$3,{"weibull","lognormal","loglogistic"},0),Inputs!$D$8,Inputs!$D$10,Inputs!$D$12))/CHOOSE(MATCH(Inputs!$B$3,{"weibull","lognormal","loglogistic"},0),Inputs!$F$8,Inputs!$F$10,Inputs!$F$12),TRUE))))</f>
        <v/>
      </c>
      <c r="E30">
        <f>(C29+C30)/2/12</f>
        <v/>
      </c>
      <c r="F30">
        <f>(D29+D30)/2/12</f>
        <v/>
      </c>
    </row>
    <row r="31">
      <c r="A31" t="n">
        <v>29</v>
      </c>
      <c r="B31">
        <f>A31/12</f>
        <v/>
      </c>
      <c r="C31">
        <f>IF(B31=0,1,IF(Inputs!$B$3="weibull",EXP(-(B31/CHOOSE(MATCH(Inputs!$B$3,{"weibull","lognormal","loglogistic"},0),Inputs!$F$7,Inputs!$F$9,Inputs!$F$11))^CHOOSE(MATCH(Inputs!$B$3,{"weibull","lognormal","loglogistic"},0),Inputs!$D$7,Inputs!$D$9,Inputs!$D$11)),IF(Inputs!$B$3="loglogistic",1/(1+(B31/CHOOSE(MATCH(Inputs!$B$3,{"weibull","lognormal","loglogistic"},0),Inputs!$F$7,Inputs!$F$9,Inputs!$F$11))^CHOOSE(MATCH(Inputs!$B$3,{"weibull","lognormal","loglogistic"},0),Inputs!$D$7,Inputs!$D$9,Inputs!$D$11)),1-NORM.S.DIST((LN(B31)-CHOOSE(MATCH(Inputs!$B$3,{"weibull","lognormal","loglogistic"},0),Inputs!$D$7,Inputs!$D$9,Inputs!$D$11))/CHOOSE(MATCH(Inputs!$B$3,{"weibull","lognormal","loglogistic"},0),Inputs!$F$7,Inputs!$F$9,Inputs!$F$11),TRUE))))</f>
        <v/>
      </c>
      <c r="D31">
        <f>IF(B31=0,1,IF(Inputs!$B$3="weibull",EXP(-(B31/CHOOSE(MATCH(Inputs!$B$3,{"weibull","lognormal","loglogistic"},0),Inputs!$F$8,Inputs!$F$10,Inputs!$F$12))^CHOOSE(MATCH(Inputs!$B$3,{"weibull","lognormal","loglogistic"},0),Inputs!$D$8,Inputs!$D$10,Inputs!$D$12)),IF(Inputs!$B$3="loglogistic",1/(1+(B31/CHOOSE(MATCH(Inputs!$B$3,{"weibull","lognormal","loglogistic"},0),Inputs!$F$8,Inputs!$F$10,Inputs!$F$12))^CHOOSE(MATCH(Inputs!$B$3,{"weibull","lognormal","loglogistic"},0),Inputs!$D$8,Inputs!$D$10,Inputs!$D$12)),1-NORM.S.DIST((LN(B31)-CHOOSE(MATCH(Inputs!$B$3,{"weibull","lognormal","loglogistic"},0),Inputs!$D$8,Inputs!$D$10,Inputs!$D$12))/CHOOSE(MATCH(Inputs!$B$3,{"weibull","lognormal","loglogistic"},0),Inputs!$F$8,Inputs!$F$10,Inputs!$F$12),TRUE))))</f>
        <v/>
      </c>
      <c r="E31">
        <f>(C30+C31)/2/12</f>
        <v/>
      </c>
      <c r="F31">
        <f>(D30+D31)/2/12</f>
        <v/>
      </c>
    </row>
    <row r="32">
      <c r="A32" t="n">
        <v>30</v>
      </c>
      <c r="B32">
        <f>A32/12</f>
        <v/>
      </c>
      <c r="C32">
        <f>IF(B32=0,1,IF(Inputs!$B$3="weibull",EXP(-(B32/CHOOSE(MATCH(Inputs!$B$3,{"weibull","lognormal","loglogistic"},0),Inputs!$F$7,Inputs!$F$9,Inputs!$F$11))^CHOOSE(MATCH(Inputs!$B$3,{"weibull","lognormal","loglogistic"},0),Inputs!$D$7,Inputs!$D$9,Inputs!$D$11)),IF(Inputs!$B$3="loglogistic",1/(1+(B32/CHOOSE(MATCH(Inputs!$B$3,{"weibull","lognormal","loglogistic"},0),Inputs!$F$7,Inputs!$F$9,Inputs!$F$11))^CHOOSE(MATCH(Inputs!$B$3,{"weibull","lognormal","loglogistic"},0),Inputs!$D$7,Inputs!$D$9,Inputs!$D$11)),1-NORM.S.DIST((LN(B32)-CHOOSE(MATCH(Inputs!$B$3,{"weibull","lognormal","loglogistic"},0),Inputs!$D$7,Inputs!$D$9,Inputs!$D$11))/CHOOSE(MATCH(Inputs!$B$3,{"weibull","lognormal","loglogistic"},0),Inputs!$F$7,Inputs!$F$9,Inputs!$F$11),TRUE))))</f>
        <v/>
      </c>
      <c r="D32">
        <f>IF(B32=0,1,IF(Inputs!$B$3="weibull",EXP(-(B32/CHOOSE(MATCH(Inputs!$B$3,{"weibull","lognormal","loglogistic"},0),Inputs!$F$8,Inputs!$F$10,Inputs!$F$12))^CHOOSE(MATCH(Inputs!$B$3,{"weibull","lognormal","loglogistic"},0),Inputs!$D$8,Inputs!$D$10,Inputs!$D$12)),IF(Inputs!$B$3="loglogistic",1/(1+(B32/CHOOSE(MATCH(Inputs!$B$3,{"weibull","lognormal","loglogistic"},0),Inputs!$F$8,Inputs!$F$10,Inputs!$F$12))^CHOOSE(MATCH(Inputs!$B$3,{"weibull","lognormal","loglogistic"},0),Inputs!$D$8,Inputs!$D$10,Inputs!$D$12)),1-NORM.S.DIST((LN(B32)-CHOOSE(MATCH(Inputs!$B$3,{"weibull","lognormal","loglogistic"},0),Inputs!$D$8,Inputs!$D$10,Inputs!$D$12))/CHOOSE(MATCH(Inputs!$B$3,{"weibull","lognormal","loglogistic"},0),Inputs!$F$8,Inputs!$F$10,Inputs!$F$12),TRUE))))</f>
        <v/>
      </c>
      <c r="E32">
        <f>(C31+C32)/2/12</f>
        <v/>
      </c>
      <c r="F32">
        <f>(D31+D32)/2/12</f>
        <v/>
      </c>
    </row>
    <row r="33">
      <c r="A33" t="n">
        <v>31</v>
      </c>
      <c r="B33">
        <f>A33/12</f>
        <v/>
      </c>
      <c r="C33">
        <f>IF(B33=0,1,IF(Inputs!$B$3="weibull",EXP(-(B33/CHOOSE(MATCH(Inputs!$B$3,{"weibull","lognormal","loglogistic"},0),Inputs!$F$7,Inputs!$F$9,Inputs!$F$11))^CHOOSE(MATCH(Inputs!$B$3,{"weibull","lognormal","loglogistic"},0),Inputs!$D$7,Inputs!$D$9,Inputs!$D$11)),IF(Inputs!$B$3="loglogistic",1/(1+(B33/CHOOSE(MATCH(Inputs!$B$3,{"weibull","lognormal","loglogistic"},0),Inputs!$F$7,Inputs!$F$9,Inputs!$F$11))^CHOOSE(MATCH(Inputs!$B$3,{"weibull","lognormal","loglogistic"},0),Inputs!$D$7,Inputs!$D$9,Inputs!$D$11)),1-NORM.S.DIST((LN(B33)-CHOOSE(MATCH(Inputs!$B$3,{"weibull","lognormal","loglogistic"},0),Inputs!$D$7,Inputs!$D$9,Inputs!$D$11))/CHOOSE(MATCH(Inputs!$B$3,{"weibull","lognormal","loglogistic"},0),Inputs!$F$7,Inputs!$F$9,Inputs!$F$11),TRUE))))</f>
        <v/>
      </c>
      <c r="D33">
        <f>IF(B33=0,1,IF(Inputs!$B$3="weibull",EXP(-(B33/CHOOSE(MATCH(Inputs!$B$3,{"weibull","lognormal","loglogistic"},0),Inputs!$F$8,Inputs!$F$10,Inputs!$F$12))^CHOOSE(MATCH(Inputs!$B$3,{"weibull","lognormal","loglogistic"},0),Inputs!$D$8,Inputs!$D$10,Inputs!$D$12)),IF(Inputs!$B$3="loglogistic",1/(1+(B33/CHOOSE(MATCH(Inputs!$B$3,{"weibull","lognormal","loglogistic"},0),Inputs!$F$8,Inputs!$F$10,Inputs!$F$12))^CHOOSE(MATCH(Inputs!$B$3,{"weibull","lognormal","loglogistic"},0),Inputs!$D$8,Inputs!$D$10,Inputs!$D$12)),1-NORM.S.DIST((LN(B33)-CHOOSE(MATCH(Inputs!$B$3,{"weibull","lognormal","loglogistic"},0),Inputs!$D$8,Inputs!$D$10,Inputs!$D$12))/CHOOSE(MATCH(Inputs!$B$3,{"weibull","lognormal","loglogistic"},0),Inputs!$F$8,Inputs!$F$10,Inputs!$F$12),TRUE))))</f>
        <v/>
      </c>
      <c r="E33">
        <f>(C32+C33)/2/12</f>
        <v/>
      </c>
      <c r="F33">
        <f>(D32+D33)/2/12</f>
        <v/>
      </c>
    </row>
    <row r="34">
      <c r="A34" t="n">
        <v>32</v>
      </c>
      <c r="B34">
        <f>A34/12</f>
        <v/>
      </c>
      <c r="C34">
        <f>IF(B34=0,1,IF(Inputs!$B$3="weibull",EXP(-(B34/CHOOSE(MATCH(Inputs!$B$3,{"weibull","lognormal","loglogistic"},0),Inputs!$F$7,Inputs!$F$9,Inputs!$F$11))^CHOOSE(MATCH(Inputs!$B$3,{"weibull","lognormal","loglogistic"},0),Inputs!$D$7,Inputs!$D$9,Inputs!$D$11)),IF(Inputs!$B$3="loglogistic",1/(1+(B34/CHOOSE(MATCH(Inputs!$B$3,{"weibull","lognormal","loglogistic"},0),Inputs!$F$7,Inputs!$F$9,Inputs!$F$11))^CHOOSE(MATCH(Inputs!$B$3,{"weibull","lognormal","loglogistic"},0),Inputs!$D$7,Inputs!$D$9,Inputs!$D$11)),1-NORM.S.DIST((LN(B34)-CHOOSE(MATCH(Inputs!$B$3,{"weibull","lognormal","loglogistic"},0),Inputs!$D$7,Inputs!$D$9,Inputs!$D$11))/CHOOSE(MATCH(Inputs!$B$3,{"weibull","lognormal","loglogistic"},0),Inputs!$F$7,Inputs!$F$9,Inputs!$F$11),TRUE))))</f>
        <v/>
      </c>
      <c r="D34">
        <f>IF(B34=0,1,IF(Inputs!$B$3="weibull",EXP(-(B34/CHOOSE(MATCH(Inputs!$B$3,{"weibull","lognormal","loglogistic"},0),Inputs!$F$8,Inputs!$F$10,Inputs!$F$12))^CHOOSE(MATCH(Inputs!$B$3,{"weibull","lognormal","loglogistic"},0),Inputs!$D$8,Inputs!$D$10,Inputs!$D$12)),IF(Inputs!$B$3="loglogistic",1/(1+(B34/CHOOSE(MATCH(Inputs!$B$3,{"weibull","lognormal","loglogistic"},0),Inputs!$F$8,Inputs!$F$10,Inputs!$F$12))^CHOOSE(MATCH(Inputs!$B$3,{"weibull","lognormal","loglogistic"},0),Inputs!$D$8,Inputs!$D$10,Inputs!$D$12)),1-NORM.S.DIST((LN(B34)-CHOOSE(MATCH(Inputs!$B$3,{"weibull","lognormal","loglogistic"},0),Inputs!$D$8,Inputs!$D$10,Inputs!$D$12))/CHOOSE(MATCH(Inputs!$B$3,{"weibull","lognormal","loglogistic"},0),Inputs!$F$8,Inputs!$F$10,Inputs!$F$12),TRUE))))</f>
        <v/>
      </c>
      <c r="E34">
        <f>(C33+C34)/2/12</f>
        <v/>
      </c>
      <c r="F34">
        <f>(D33+D34)/2/12</f>
        <v/>
      </c>
    </row>
    <row r="35">
      <c r="A35" t="n">
        <v>33</v>
      </c>
      <c r="B35">
        <f>A35/12</f>
        <v/>
      </c>
      <c r="C35">
        <f>IF(B35=0,1,IF(Inputs!$B$3="weibull",EXP(-(B35/CHOOSE(MATCH(Inputs!$B$3,{"weibull","lognormal","loglogistic"},0),Inputs!$F$7,Inputs!$F$9,Inputs!$F$11))^CHOOSE(MATCH(Inputs!$B$3,{"weibull","lognormal","loglogistic"},0),Inputs!$D$7,Inputs!$D$9,Inputs!$D$11)),IF(Inputs!$B$3="loglogistic",1/(1+(B35/CHOOSE(MATCH(Inputs!$B$3,{"weibull","lognormal","loglogistic"},0),Inputs!$F$7,Inputs!$F$9,Inputs!$F$11))^CHOOSE(MATCH(Inputs!$B$3,{"weibull","lognormal","loglogistic"},0),Inputs!$D$7,Inputs!$D$9,Inputs!$D$11)),1-NORM.S.DIST((LN(B35)-CHOOSE(MATCH(Inputs!$B$3,{"weibull","lognormal","loglogistic"},0),Inputs!$D$7,Inputs!$D$9,Inputs!$D$11))/CHOOSE(MATCH(Inputs!$B$3,{"weibull","lognormal","loglogistic"},0),Inputs!$F$7,Inputs!$F$9,Inputs!$F$11),TRUE))))</f>
        <v/>
      </c>
      <c r="D35">
        <f>IF(B35=0,1,IF(Inputs!$B$3="weibull",EXP(-(B35/CHOOSE(MATCH(Inputs!$B$3,{"weibull","lognormal","loglogistic"},0),Inputs!$F$8,Inputs!$F$10,Inputs!$F$12))^CHOOSE(MATCH(Inputs!$B$3,{"weibull","lognormal","loglogistic"},0),Inputs!$D$8,Inputs!$D$10,Inputs!$D$12)),IF(Inputs!$B$3="loglogistic",1/(1+(B35/CHOOSE(MATCH(Inputs!$B$3,{"weibull","lognormal","loglogistic"},0),Inputs!$F$8,Inputs!$F$10,Inputs!$F$12))^CHOOSE(MATCH(Inputs!$B$3,{"weibull","lognormal","loglogistic"},0),Inputs!$D$8,Inputs!$D$10,Inputs!$D$12)),1-NORM.S.DIST((LN(B35)-CHOOSE(MATCH(Inputs!$B$3,{"weibull","lognormal","loglogistic"},0),Inputs!$D$8,Inputs!$D$10,Inputs!$D$12))/CHOOSE(MATCH(Inputs!$B$3,{"weibull","lognormal","loglogistic"},0),Inputs!$F$8,Inputs!$F$10,Inputs!$F$12),TRUE))))</f>
        <v/>
      </c>
      <c r="E35">
        <f>(C34+C35)/2/12</f>
        <v/>
      </c>
      <c r="F35">
        <f>(D34+D35)/2/12</f>
        <v/>
      </c>
    </row>
    <row r="36">
      <c r="A36" t="n">
        <v>34</v>
      </c>
      <c r="B36">
        <f>A36/12</f>
        <v/>
      </c>
      <c r="C36">
        <f>IF(B36=0,1,IF(Inputs!$B$3="weibull",EXP(-(B36/CHOOSE(MATCH(Inputs!$B$3,{"weibull","lognormal","loglogistic"},0),Inputs!$F$7,Inputs!$F$9,Inputs!$F$11))^CHOOSE(MATCH(Inputs!$B$3,{"weibull","lognormal","loglogistic"},0),Inputs!$D$7,Inputs!$D$9,Inputs!$D$11)),IF(Inputs!$B$3="loglogistic",1/(1+(B36/CHOOSE(MATCH(Inputs!$B$3,{"weibull","lognormal","loglogistic"},0),Inputs!$F$7,Inputs!$F$9,Inputs!$F$11))^CHOOSE(MATCH(Inputs!$B$3,{"weibull","lognormal","loglogistic"},0),Inputs!$D$7,Inputs!$D$9,Inputs!$D$11)),1-NORM.S.DIST((LN(B36)-CHOOSE(MATCH(Inputs!$B$3,{"weibull","lognormal","loglogistic"},0),Inputs!$D$7,Inputs!$D$9,Inputs!$D$11))/CHOOSE(MATCH(Inputs!$B$3,{"weibull","lognormal","loglogistic"},0),Inputs!$F$7,Inputs!$F$9,Inputs!$F$11),TRUE))))</f>
        <v/>
      </c>
      <c r="D36">
        <f>IF(B36=0,1,IF(Inputs!$B$3="weibull",EXP(-(B36/CHOOSE(MATCH(Inputs!$B$3,{"weibull","lognormal","loglogistic"},0),Inputs!$F$8,Inputs!$F$10,Inputs!$F$12))^CHOOSE(MATCH(Inputs!$B$3,{"weibull","lognormal","loglogistic"},0),Inputs!$D$8,Inputs!$D$10,Inputs!$D$12)),IF(Inputs!$B$3="loglogistic",1/(1+(B36/CHOOSE(MATCH(Inputs!$B$3,{"weibull","lognormal","loglogistic"},0),Inputs!$F$8,Inputs!$F$10,Inputs!$F$12))^CHOOSE(MATCH(Inputs!$B$3,{"weibull","lognormal","loglogistic"},0),Inputs!$D$8,Inputs!$D$10,Inputs!$D$12)),1-NORM.S.DIST((LN(B36)-CHOOSE(MATCH(Inputs!$B$3,{"weibull","lognormal","loglogistic"},0),Inputs!$D$8,Inputs!$D$10,Inputs!$D$12))/CHOOSE(MATCH(Inputs!$B$3,{"weibull","lognormal","loglogistic"},0),Inputs!$F$8,Inputs!$F$10,Inputs!$F$12),TRUE))))</f>
        <v/>
      </c>
      <c r="E36">
        <f>(C35+C36)/2/12</f>
        <v/>
      </c>
      <c r="F36">
        <f>(D35+D36)/2/12</f>
        <v/>
      </c>
    </row>
    <row r="37">
      <c r="A37" t="n">
        <v>35</v>
      </c>
      <c r="B37">
        <f>A37/12</f>
        <v/>
      </c>
      <c r="C37">
        <f>IF(B37=0,1,IF(Inputs!$B$3="weibull",EXP(-(B37/CHOOSE(MATCH(Inputs!$B$3,{"weibull","lognormal","loglogistic"},0),Inputs!$F$7,Inputs!$F$9,Inputs!$F$11))^CHOOSE(MATCH(Inputs!$B$3,{"weibull","lognormal","loglogistic"},0),Inputs!$D$7,Inputs!$D$9,Inputs!$D$11)),IF(Inputs!$B$3="loglogistic",1/(1+(B37/CHOOSE(MATCH(Inputs!$B$3,{"weibull","lognormal","loglogistic"},0),Inputs!$F$7,Inputs!$F$9,Inputs!$F$11))^CHOOSE(MATCH(Inputs!$B$3,{"weibull","lognormal","loglogistic"},0),Inputs!$D$7,Inputs!$D$9,Inputs!$D$11)),1-NORM.S.DIST((LN(B37)-CHOOSE(MATCH(Inputs!$B$3,{"weibull","lognormal","loglogistic"},0),Inputs!$D$7,Inputs!$D$9,Inputs!$D$11))/CHOOSE(MATCH(Inputs!$B$3,{"weibull","lognormal","loglogistic"},0),Inputs!$F$7,Inputs!$F$9,Inputs!$F$11),TRUE))))</f>
        <v/>
      </c>
      <c r="D37">
        <f>IF(B37=0,1,IF(Inputs!$B$3="weibull",EXP(-(B37/CHOOSE(MATCH(Inputs!$B$3,{"weibull","lognormal","loglogistic"},0),Inputs!$F$8,Inputs!$F$10,Inputs!$F$12))^CHOOSE(MATCH(Inputs!$B$3,{"weibull","lognormal","loglogistic"},0),Inputs!$D$8,Inputs!$D$10,Inputs!$D$12)),IF(Inputs!$B$3="loglogistic",1/(1+(B37/CHOOSE(MATCH(Inputs!$B$3,{"weibull","lognormal","loglogistic"},0),Inputs!$F$8,Inputs!$F$10,Inputs!$F$12))^CHOOSE(MATCH(Inputs!$B$3,{"weibull","lognormal","loglogistic"},0),Inputs!$D$8,Inputs!$D$10,Inputs!$D$12)),1-NORM.S.DIST((LN(B37)-CHOOSE(MATCH(Inputs!$B$3,{"weibull","lognormal","loglogistic"},0),Inputs!$D$8,Inputs!$D$10,Inputs!$D$12))/CHOOSE(MATCH(Inputs!$B$3,{"weibull","lognormal","loglogistic"},0),Inputs!$F$8,Inputs!$F$10,Inputs!$F$12),TRUE))))</f>
        <v/>
      </c>
      <c r="E37">
        <f>(C36+C37)/2/12</f>
        <v/>
      </c>
      <c r="F37">
        <f>(D36+D37)/2/12</f>
        <v/>
      </c>
    </row>
    <row r="38">
      <c r="A38" t="n">
        <v>36</v>
      </c>
      <c r="B38">
        <f>A38/12</f>
        <v/>
      </c>
      <c r="C38">
        <f>IF(B38=0,1,IF(Inputs!$B$3="weibull",EXP(-(B38/CHOOSE(MATCH(Inputs!$B$3,{"weibull","lognormal","loglogistic"},0),Inputs!$F$7,Inputs!$F$9,Inputs!$F$11))^CHOOSE(MATCH(Inputs!$B$3,{"weibull","lognormal","loglogistic"},0),Inputs!$D$7,Inputs!$D$9,Inputs!$D$11)),IF(Inputs!$B$3="loglogistic",1/(1+(B38/CHOOSE(MATCH(Inputs!$B$3,{"weibull","lognormal","loglogistic"},0),Inputs!$F$7,Inputs!$F$9,Inputs!$F$11))^CHOOSE(MATCH(Inputs!$B$3,{"weibull","lognormal","loglogistic"},0),Inputs!$D$7,Inputs!$D$9,Inputs!$D$11)),1-NORM.S.DIST((LN(B38)-CHOOSE(MATCH(Inputs!$B$3,{"weibull","lognormal","loglogistic"},0),Inputs!$D$7,Inputs!$D$9,Inputs!$D$11))/CHOOSE(MATCH(Inputs!$B$3,{"weibull","lognormal","loglogistic"},0),Inputs!$F$7,Inputs!$F$9,Inputs!$F$11),TRUE))))</f>
        <v/>
      </c>
      <c r="D38">
        <f>IF(B38=0,1,IF(Inputs!$B$3="weibull",EXP(-(B38/CHOOSE(MATCH(Inputs!$B$3,{"weibull","lognormal","loglogistic"},0),Inputs!$F$8,Inputs!$F$10,Inputs!$F$12))^CHOOSE(MATCH(Inputs!$B$3,{"weibull","lognormal","loglogistic"},0),Inputs!$D$8,Inputs!$D$10,Inputs!$D$12)),IF(Inputs!$B$3="loglogistic",1/(1+(B38/CHOOSE(MATCH(Inputs!$B$3,{"weibull","lognormal","loglogistic"},0),Inputs!$F$8,Inputs!$F$10,Inputs!$F$12))^CHOOSE(MATCH(Inputs!$B$3,{"weibull","lognormal","loglogistic"},0),Inputs!$D$8,Inputs!$D$10,Inputs!$D$12)),1-NORM.S.DIST((LN(B38)-CHOOSE(MATCH(Inputs!$B$3,{"weibull","lognormal","loglogistic"},0),Inputs!$D$8,Inputs!$D$10,Inputs!$D$12))/CHOOSE(MATCH(Inputs!$B$3,{"weibull","lognormal","loglogistic"},0),Inputs!$F$8,Inputs!$F$10,Inputs!$F$12),TRUE))))</f>
        <v/>
      </c>
      <c r="E38">
        <f>(C37+C38)/2/12</f>
        <v/>
      </c>
      <c r="F38">
        <f>(D37+D38)/2/12</f>
        <v/>
      </c>
    </row>
    <row r="39">
      <c r="A39" t="n">
        <v>37</v>
      </c>
      <c r="B39">
        <f>A39/12</f>
        <v/>
      </c>
      <c r="C39">
        <f>IF(B39=0,1,IF(Inputs!$B$3="weibull",EXP(-(B39/CHOOSE(MATCH(Inputs!$B$3,{"weibull","lognormal","loglogistic"},0),Inputs!$F$7,Inputs!$F$9,Inputs!$F$11))^CHOOSE(MATCH(Inputs!$B$3,{"weibull","lognormal","loglogistic"},0),Inputs!$D$7,Inputs!$D$9,Inputs!$D$11)),IF(Inputs!$B$3="loglogistic",1/(1+(B39/CHOOSE(MATCH(Inputs!$B$3,{"weibull","lognormal","loglogistic"},0),Inputs!$F$7,Inputs!$F$9,Inputs!$F$11))^CHOOSE(MATCH(Inputs!$B$3,{"weibull","lognormal","loglogistic"},0),Inputs!$D$7,Inputs!$D$9,Inputs!$D$11)),1-NORM.S.DIST((LN(B39)-CHOOSE(MATCH(Inputs!$B$3,{"weibull","lognormal","loglogistic"},0),Inputs!$D$7,Inputs!$D$9,Inputs!$D$11))/CHOOSE(MATCH(Inputs!$B$3,{"weibull","lognormal","loglogistic"},0),Inputs!$F$7,Inputs!$F$9,Inputs!$F$11),TRUE))))</f>
        <v/>
      </c>
      <c r="D39">
        <f>IF(B39=0,1,IF(Inputs!$B$3="weibull",EXP(-(B39/CHOOSE(MATCH(Inputs!$B$3,{"weibull","lognormal","loglogistic"},0),Inputs!$F$8,Inputs!$F$10,Inputs!$F$12))^CHOOSE(MATCH(Inputs!$B$3,{"weibull","lognormal","loglogistic"},0),Inputs!$D$8,Inputs!$D$10,Inputs!$D$12)),IF(Inputs!$B$3="loglogistic",1/(1+(B39/CHOOSE(MATCH(Inputs!$B$3,{"weibull","lognormal","loglogistic"},0),Inputs!$F$8,Inputs!$F$10,Inputs!$F$12))^CHOOSE(MATCH(Inputs!$B$3,{"weibull","lognormal","loglogistic"},0),Inputs!$D$8,Inputs!$D$10,Inputs!$D$12)),1-NORM.S.DIST((LN(B39)-CHOOSE(MATCH(Inputs!$B$3,{"weibull","lognormal","loglogistic"},0),Inputs!$D$8,Inputs!$D$10,Inputs!$D$12))/CHOOSE(MATCH(Inputs!$B$3,{"weibull","lognormal","loglogistic"},0),Inputs!$F$8,Inputs!$F$10,Inputs!$F$12),TRUE))))</f>
        <v/>
      </c>
      <c r="E39">
        <f>(C38+C39)/2/12</f>
        <v/>
      </c>
      <c r="F39">
        <f>(D38+D39)/2/12</f>
        <v/>
      </c>
    </row>
    <row r="40">
      <c r="A40" t="n">
        <v>38</v>
      </c>
      <c r="B40">
        <f>A40/12</f>
        <v/>
      </c>
      <c r="C40">
        <f>IF(B40=0,1,IF(Inputs!$B$3="weibull",EXP(-(B40/CHOOSE(MATCH(Inputs!$B$3,{"weibull","lognormal","loglogistic"},0),Inputs!$F$7,Inputs!$F$9,Inputs!$F$11))^CHOOSE(MATCH(Inputs!$B$3,{"weibull","lognormal","loglogistic"},0),Inputs!$D$7,Inputs!$D$9,Inputs!$D$11)),IF(Inputs!$B$3="loglogistic",1/(1+(B40/CHOOSE(MATCH(Inputs!$B$3,{"weibull","lognormal","loglogistic"},0),Inputs!$F$7,Inputs!$F$9,Inputs!$F$11))^CHOOSE(MATCH(Inputs!$B$3,{"weibull","lognormal","loglogistic"},0),Inputs!$D$7,Inputs!$D$9,Inputs!$D$11)),1-NORM.S.DIST((LN(B40)-CHOOSE(MATCH(Inputs!$B$3,{"weibull","lognormal","loglogistic"},0),Inputs!$D$7,Inputs!$D$9,Inputs!$D$11))/CHOOSE(MATCH(Inputs!$B$3,{"weibull","lognormal","loglogistic"},0),Inputs!$F$7,Inputs!$F$9,Inputs!$F$11),TRUE))))</f>
        <v/>
      </c>
      <c r="D40">
        <f>IF(B40=0,1,IF(Inputs!$B$3="weibull",EXP(-(B40/CHOOSE(MATCH(Inputs!$B$3,{"weibull","lognormal","loglogistic"},0),Inputs!$F$8,Inputs!$F$10,Inputs!$F$12))^CHOOSE(MATCH(Inputs!$B$3,{"weibull","lognormal","loglogistic"},0),Inputs!$D$8,Inputs!$D$10,Inputs!$D$12)),IF(Inputs!$B$3="loglogistic",1/(1+(B40/CHOOSE(MATCH(Inputs!$B$3,{"weibull","lognormal","loglogistic"},0),Inputs!$F$8,Inputs!$F$10,Inputs!$F$12))^CHOOSE(MATCH(Inputs!$B$3,{"weibull","lognormal","loglogistic"},0),Inputs!$D$8,Inputs!$D$10,Inputs!$D$12)),1-NORM.S.DIST((LN(B40)-CHOOSE(MATCH(Inputs!$B$3,{"weibull","lognormal","loglogistic"},0),Inputs!$D$8,Inputs!$D$10,Inputs!$D$12))/CHOOSE(MATCH(Inputs!$B$3,{"weibull","lognormal","loglogistic"},0),Inputs!$F$8,Inputs!$F$10,Inputs!$F$12),TRUE))))</f>
        <v/>
      </c>
      <c r="E40">
        <f>(C39+C40)/2/12</f>
        <v/>
      </c>
      <c r="F40">
        <f>(D39+D40)/2/12</f>
        <v/>
      </c>
    </row>
    <row r="41">
      <c r="A41" t="n">
        <v>39</v>
      </c>
      <c r="B41">
        <f>A41/12</f>
        <v/>
      </c>
      <c r="C41">
        <f>IF(B41=0,1,IF(Inputs!$B$3="weibull",EXP(-(B41/CHOOSE(MATCH(Inputs!$B$3,{"weibull","lognormal","loglogistic"},0),Inputs!$F$7,Inputs!$F$9,Inputs!$F$11))^CHOOSE(MATCH(Inputs!$B$3,{"weibull","lognormal","loglogistic"},0),Inputs!$D$7,Inputs!$D$9,Inputs!$D$11)),IF(Inputs!$B$3="loglogistic",1/(1+(B41/CHOOSE(MATCH(Inputs!$B$3,{"weibull","lognormal","loglogistic"},0),Inputs!$F$7,Inputs!$F$9,Inputs!$F$11))^CHOOSE(MATCH(Inputs!$B$3,{"weibull","lognormal","loglogistic"},0),Inputs!$D$7,Inputs!$D$9,Inputs!$D$11)),1-NORM.S.DIST((LN(B41)-CHOOSE(MATCH(Inputs!$B$3,{"weibull","lognormal","loglogistic"},0),Inputs!$D$7,Inputs!$D$9,Inputs!$D$11))/CHOOSE(MATCH(Inputs!$B$3,{"weibull","lognormal","loglogistic"},0),Inputs!$F$7,Inputs!$F$9,Inputs!$F$11),TRUE))))</f>
        <v/>
      </c>
      <c r="D41">
        <f>IF(B41=0,1,IF(Inputs!$B$3="weibull",EXP(-(B41/CHOOSE(MATCH(Inputs!$B$3,{"weibull","lognormal","loglogistic"},0),Inputs!$F$8,Inputs!$F$10,Inputs!$F$12))^CHOOSE(MATCH(Inputs!$B$3,{"weibull","lognormal","loglogistic"},0),Inputs!$D$8,Inputs!$D$10,Inputs!$D$12)),IF(Inputs!$B$3="loglogistic",1/(1+(B41/CHOOSE(MATCH(Inputs!$B$3,{"weibull","lognormal","loglogistic"},0),Inputs!$F$8,Inputs!$F$10,Inputs!$F$12))^CHOOSE(MATCH(Inputs!$B$3,{"weibull","lognormal","loglogistic"},0),Inputs!$D$8,Inputs!$D$10,Inputs!$D$12)),1-NORM.S.DIST((LN(B41)-CHOOSE(MATCH(Inputs!$B$3,{"weibull","lognormal","loglogistic"},0),Inputs!$D$8,Inputs!$D$10,Inputs!$D$12))/CHOOSE(MATCH(Inputs!$B$3,{"weibull","lognormal","loglogistic"},0),Inputs!$F$8,Inputs!$F$10,Inputs!$F$12),TRUE))))</f>
        <v/>
      </c>
      <c r="E41">
        <f>(C40+C41)/2/12</f>
        <v/>
      </c>
      <c r="F41">
        <f>(D40+D41)/2/12</f>
        <v/>
      </c>
    </row>
    <row r="42">
      <c r="A42" t="n">
        <v>40</v>
      </c>
      <c r="B42">
        <f>A42/12</f>
        <v/>
      </c>
      <c r="C42">
        <f>IF(B42=0,1,IF(Inputs!$B$3="weibull",EXP(-(B42/CHOOSE(MATCH(Inputs!$B$3,{"weibull","lognormal","loglogistic"},0),Inputs!$F$7,Inputs!$F$9,Inputs!$F$11))^CHOOSE(MATCH(Inputs!$B$3,{"weibull","lognormal","loglogistic"},0),Inputs!$D$7,Inputs!$D$9,Inputs!$D$11)),IF(Inputs!$B$3="loglogistic",1/(1+(B42/CHOOSE(MATCH(Inputs!$B$3,{"weibull","lognormal","loglogistic"},0),Inputs!$F$7,Inputs!$F$9,Inputs!$F$11))^CHOOSE(MATCH(Inputs!$B$3,{"weibull","lognormal","loglogistic"},0),Inputs!$D$7,Inputs!$D$9,Inputs!$D$11)),1-NORM.S.DIST((LN(B42)-CHOOSE(MATCH(Inputs!$B$3,{"weibull","lognormal","loglogistic"},0),Inputs!$D$7,Inputs!$D$9,Inputs!$D$11))/CHOOSE(MATCH(Inputs!$B$3,{"weibull","lognormal","loglogistic"},0),Inputs!$F$7,Inputs!$F$9,Inputs!$F$11),TRUE))))</f>
        <v/>
      </c>
      <c r="D42">
        <f>IF(B42=0,1,IF(Inputs!$B$3="weibull",EXP(-(B42/CHOOSE(MATCH(Inputs!$B$3,{"weibull","lognormal","loglogistic"},0),Inputs!$F$8,Inputs!$F$10,Inputs!$F$12))^CHOOSE(MATCH(Inputs!$B$3,{"weibull","lognormal","loglogistic"},0),Inputs!$D$8,Inputs!$D$10,Inputs!$D$12)),IF(Inputs!$B$3="loglogistic",1/(1+(B42/CHOOSE(MATCH(Inputs!$B$3,{"weibull","lognormal","loglogistic"},0),Inputs!$F$8,Inputs!$F$10,Inputs!$F$12))^CHOOSE(MATCH(Inputs!$B$3,{"weibull","lognormal","loglogistic"},0),Inputs!$D$8,Inputs!$D$10,Inputs!$D$12)),1-NORM.S.DIST((LN(B42)-CHOOSE(MATCH(Inputs!$B$3,{"weibull","lognormal","loglogistic"},0),Inputs!$D$8,Inputs!$D$10,Inputs!$D$12))/CHOOSE(MATCH(Inputs!$B$3,{"weibull","lognormal","loglogistic"},0),Inputs!$F$8,Inputs!$F$10,Inputs!$F$12),TRUE))))</f>
        <v/>
      </c>
      <c r="E42">
        <f>(C41+C42)/2/12</f>
        <v/>
      </c>
      <c r="F42">
        <f>(D41+D42)/2/12</f>
        <v/>
      </c>
    </row>
    <row r="43">
      <c r="A43" t="n">
        <v>41</v>
      </c>
      <c r="B43">
        <f>A43/12</f>
        <v/>
      </c>
      <c r="C43">
        <f>IF(B43=0,1,IF(Inputs!$B$3="weibull",EXP(-(B43/CHOOSE(MATCH(Inputs!$B$3,{"weibull","lognormal","loglogistic"},0),Inputs!$F$7,Inputs!$F$9,Inputs!$F$11))^CHOOSE(MATCH(Inputs!$B$3,{"weibull","lognormal","loglogistic"},0),Inputs!$D$7,Inputs!$D$9,Inputs!$D$11)),IF(Inputs!$B$3="loglogistic",1/(1+(B43/CHOOSE(MATCH(Inputs!$B$3,{"weibull","lognormal","loglogistic"},0),Inputs!$F$7,Inputs!$F$9,Inputs!$F$11))^CHOOSE(MATCH(Inputs!$B$3,{"weibull","lognormal","loglogistic"},0),Inputs!$D$7,Inputs!$D$9,Inputs!$D$11)),1-NORM.S.DIST((LN(B43)-CHOOSE(MATCH(Inputs!$B$3,{"weibull","lognormal","loglogistic"},0),Inputs!$D$7,Inputs!$D$9,Inputs!$D$11))/CHOOSE(MATCH(Inputs!$B$3,{"weibull","lognormal","loglogistic"},0),Inputs!$F$7,Inputs!$F$9,Inputs!$F$11),TRUE))))</f>
        <v/>
      </c>
      <c r="D43">
        <f>IF(B43=0,1,IF(Inputs!$B$3="weibull",EXP(-(B43/CHOOSE(MATCH(Inputs!$B$3,{"weibull","lognormal","loglogistic"},0),Inputs!$F$8,Inputs!$F$10,Inputs!$F$12))^CHOOSE(MATCH(Inputs!$B$3,{"weibull","lognormal","loglogistic"},0),Inputs!$D$8,Inputs!$D$10,Inputs!$D$12)),IF(Inputs!$B$3="loglogistic",1/(1+(B43/CHOOSE(MATCH(Inputs!$B$3,{"weibull","lognormal","loglogistic"},0),Inputs!$F$8,Inputs!$F$10,Inputs!$F$12))^CHOOSE(MATCH(Inputs!$B$3,{"weibull","lognormal","loglogistic"},0),Inputs!$D$8,Inputs!$D$10,Inputs!$D$12)),1-NORM.S.DIST((LN(B43)-CHOOSE(MATCH(Inputs!$B$3,{"weibull","lognormal","loglogistic"},0),Inputs!$D$8,Inputs!$D$10,Inputs!$D$12))/CHOOSE(MATCH(Inputs!$B$3,{"weibull","lognormal","loglogistic"},0),Inputs!$F$8,Inputs!$F$10,Inputs!$F$12),TRUE))))</f>
        <v/>
      </c>
      <c r="E43">
        <f>(C42+C43)/2/12</f>
        <v/>
      </c>
      <c r="F43">
        <f>(D42+D43)/2/12</f>
        <v/>
      </c>
    </row>
    <row r="44">
      <c r="A44" t="n">
        <v>42</v>
      </c>
      <c r="B44">
        <f>A44/12</f>
        <v/>
      </c>
      <c r="C44">
        <f>IF(B44=0,1,IF(Inputs!$B$3="weibull",EXP(-(B44/CHOOSE(MATCH(Inputs!$B$3,{"weibull","lognormal","loglogistic"},0),Inputs!$F$7,Inputs!$F$9,Inputs!$F$11))^CHOOSE(MATCH(Inputs!$B$3,{"weibull","lognormal","loglogistic"},0),Inputs!$D$7,Inputs!$D$9,Inputs!$D$11)),IF(Inputs!$B$3="loglogistic",1/(1+(B44/CHOOSE(MATCH(Inputs!$B$3,{"weibull","lognormal","loglogistic"},0),Inputs!$F$7,Inputs!$F$9,Inputs!$F$11))^CHOOSE(MATCH(Inputs!$B$3,{"weibull","lognormal","loglogistic"},0),Inputs!$D$7,Inputs!$D$9,Inputs!$D$11)),1-NORM.S.DIST((LN(B44)-CHOOSE(MATCH(Inputs!$B$3,{"weibull","lognormal","loglogistic"},0),Inputs!$D$7,Inputs!$D$9,Inputs!$D$11))/CHOOSE(MATCH(Inputs!$B$3,{"weibull","lognormal","loglogistic"},0),Inputs!$F$7,Inputs!$F$9,Inputs!$F$11),TRUE))))</f>
        <v/>
      </c>
      <c r="D44">
        <f>IF(B44=0,1,IF(Inputs!$B$3="weibull",EXP(-(B44/CHOOSE(MATCH(Inputs!$B$3,{"weibull","lognormal","loglogistic"},0),Inputs!$F$8,Inputs!$F$10,Inputs!$F$12))^CHOOSE(MATCH(Inputs!$B$3,{"weibull","lognormal","loglogistic"},0),Inputs!$D$8,Inputs!$D$10,Inputs!$D$12)),IF(Inputs!$B$3="loglogistic",1/(1+(B44/CHOOSE(MATCH(Inputs!$B$3,{"weibull","lognormal","loglogistic"},0),Inputs!$F$8,Inputs!$F$10,Inputs!$F$12))^CHOOSE(MATCH(Inputs!$B$3,{"weibull","lognormal","loglogistic"},0),Inputs!$D$8,Inputs!$D$10,Inputs!$D$12)),1-NORM.S.DIST((LN(B44)-CHOOSE(MATCH(Inputs!$B$3,{"weibull","lognormal","loglogistic"},0),Inputs!$D$8,Inputs!$D$10,Inputs!$D$12))/CHOOSE(MATCH(Inputs!$B$3,{"weibull","lognormal","loglogistic"},0),Inputs!$F$8,Inputs!$F$10,Inputs!$F$12),TRUE))))</f>
        <v/>
      </c>
      <c r="E44">
        <f>(C43+C44)/2/12</f>
        <v/>
      </c>
      <c r="F44">
        <f>(D43+D44)/2/12</f>
        <v/>
      </c>
    </row>
    <row r="45">
      <c r="A45" t="n">
        <v>43</v>
      </c>
      <c r="B45">
        <f>A45/12</f>
        <v/>
      </c>
      <c r="C45">
        <f>IF(B45=0,1,IF(Inputs!$B$3="weibull",EXP(-(B45/CHOOSE(MATCH(Inputs!$B$3,{"weibull","lognormal","loglogistic"},0),Inputs!$F$7,Inputs!$F$9,Inputs!$F$11))^CHOOSE(MATCH(Inputs!$B$3,{"weibull","lognormal","loglogistic"},0),Inputs!$D$7,Inputs!$D$9,Inputs!$D$11)),IF(Inputs!$B$3="loglogistic",1/(1+(B45/CHOOSE(MATCH(Inputs!$B$3,{"weibull","lognormal","loglogistic"},0),Inputs!$F$7,Inputs!$F$9,Inputs!$F$11))^CHOOSE(MATCH(Inputs!$B$3,{"weibull","lognormal","loglogistic"},0),Inputs!$D$7,Inputs!$D$9,Inputs!$D$11)),1-NORM.S.DIST((LN(B45)-CHOOSE(MATCH(Inputs!$B$3,{"weibull","lognormal","loglogistic"},0),Inputs!$D$7,Inputs!$D$9,Inputs!$D$11))/CHOOSE(MATCH(Inputs!$B$3,{"weibull","lognormal","loglogistic"},0),Inputs!$F$7,Inputs!$F$9,Inputs!$F$11),TRUE))))</f>
        <v/>
      </c>
      <c r="D45">
        <f>IF(B45=0,1,IF(Inputs!$B$3="weibull",EXP(-(B45/CHOOSE(MATCH(Inputs!$B$3,{"weibull","lognormal","loglogistic"},0),Inputs!$F$8,Inputs!$F$10,Inputs!$F$12))^CHOOSE(MATCH(Inputs!$B$3,{"weibull","lognormal","loglogistic"},0),Inputs!$D$8,Inputs!$D$10,Inputs!$D$12)),IF(Inputs!$B$3="loglogistic",1/(1+(B45/CHOOSE(MATCH(Inputs!$B$3,{"weibull","lognormal","loglogistic"},0),Inputs!$F$8,Inputs!$F$10,Inputs!$F$12))^CHOOSE(MATCH(Inputs!$B$3,{"weibull","lognormal","loglogistic"},0),Inputs!$D$8,Inputs!$D$10,Inputs!$D$12)),1-NORM.S.DIST((LN(B45)-CHOOSE(MATCH(Inputs!$B$3,{"weibull","lognormal","loglogistic"},0),Inputs!$D$8,Inputs!$D$10,Inputs!$D$12))/CHOOSE(MATCH(Inputs!$B$3,{"weibull","lognormal","loglogistic"},0),Inputs!$F$8,Inputs!$F$10,Inputs!$F$12),TRUE))))</f>
        <v/>
      </c>
      <c r="E45">
        <f>(C44+C45)/2/12</f>
        <v/>
      </c>
      <c r="F45">
        <f>(D44+D45)/2/12</f>
        <v/>
      </c>
    </row>
    <row r="46">
      <c r="A46" t="n">
        <v>44</v>
      </c>
      <c r="B46">
        <f>A46/12</f>
        <v/>
      </c>
      <c r="C46">
        <f>IF(B46=0,1,IF(Inputs!$B$3="weibull",EXP(-(B46/CHOOSE(MATCH(Inputs!$B$3,{"weibull","lognormal","loglogistic"},0),Inputs!$F$7,Inputs!$F$9,Inputs!$F$11))^CHOOSE(MATCH(Inputs!$B$3,{"weibull","lognormal","loglogistic"},0),Inputs!$D$7,Inputs!$D$9,Inputs!$D$11)),IF(Inputs!$B$3="loglogistic",1/(1+(B46/CHOOSE(MATCH(Inputs!$B$3,{"weibull","lognormal","loglogistic"},0),Inputs!$F$7,Inputs!$F$9,Inputs!$F$11))^CHOOSE(MATCH(Inputs!$B$3,{"weibull","lognormal","loglogistic"},0),Inputs!$D$7,Inputs!$D$9,Inputs!$D$11)),1-NORM.S.DIST((LN(B46)-CHOOSE(MATCH(Inputs!$B$3,{"weibull","lognormal","loglogistic"},0),Inputs!$D$7,Inputs!$D$9,Inputs!$D$11))/CHOOSE(MATCH(Inputs!$B$3,{"weibull","lognormal","loglogistic"},0),Inputs!$F$7,Inputs!$F$9,Inputs!$F$11),TRUE))))</f>
        <v/>
      </c>
      <c r="D46">
        <f>IF(B46=0,1,IF(Inputs!$B$3="weibull",EXP(-(B46/CHOOSE(MATCH(Inputs!$B$3,{"weibull","lognormal","loglogistic"},0),Inputs!$F$8,Inputs!$F$10,Inputs!$F$12))^CHOOSE(MATCH(Inputs!$B$3,{"weibull","lognormal","loglogistic"},0),Inputs!$D$8,Inputs!$D$10,Inputs!$D$12)),IF(Inputs!$B$3="loglogistic",1/(1+(B46/CHOOSE(MATCH(Inputs!$B$3,{"weibull","lognormal","loglogistic"},0),Inputs!$F$8,Inputs!$F$10,Inputs!$F$12))^CHOOSE(MATCH(Inputs!$B$3,{"weibull","lognormal","loglogistic"},0),Inputs!$D$8,Inputs!$D$10,Inputs!$D$12)),1-NORM.S.DIST((LN(B46)-CHOOSE(MATCH(Inputs!$B$3,{"weibull","lognormal","loglogistic"},0),Inputs!$D$8,Inputs!$D$10,Inputs!$D$12))/CHOOSE(MATCH(Inputs!$B$3,{"weibull","lognormal","loglogistic"},0),Inputs!$F$8,Inputs!$F$10,Inputs!$F$12),TRUE))))</f>
        <v/>
      </c>
      <c r="E46">
        <f>(C45+C46)/2/12</f>
        <v/>
      </c>
      <c r="F46">
        <f>(D45+D46)/2/12</f>
        <v/>
      </c>
    </row>
    <row r="47">
      <c r="A47" t="n">
        <v>45</v>
      </c>
      <c r="B47">
        <f>A47/12</f>
        <v/>
      </c>
      <c r="C47">
        <f>IF(B47=0,1,IF(Inputs!$B$3="weibull",EXP(-(B47/CHOOSE(MATCH(Inputs!$B$3,{"weibull","lognormal","loglogistic"},0),Inputs!$F$7,Inputs!$F$9,Inputs!$F$11))^CHOOSE(MATCH(Inputs!$B$3,{"weibull","lognormal","loglogistic"},0),Inputs!$D$7,Inputs!$D$9,Inputs!$D$11)),IF(Inputs!$B$3="loglogistic",1/(1+(B47/CHOOSE(MATCH(Inputs!$B$3,{"weibull","lognormal","loglogistic"},0),Inputs!$F$7,Inputs!$F$9,Inputs!$F$11))^CHOOSE(MATCH(Inputs!$B$3,{"weibull","lognormal","loglogistic"},0),Inputs!$D$7,Inputs!$D$9,Inputs!$D$11)),1-NORM.S.DIST((LN(B47)-CHOOSE(MATCH(Inputs!$B$3,{"weibull","lognormal","loglogistic"},0),Inputs!$D$7,Inputs!$D$9,Inputs!$D$11))/CHOOSE(MATCH(Inputs!$B$3,{"weibull","lognormal","loglogistic"},0),Inputs!$F$7,Inputs!$F$9,Inputs!$F$11),TRUE))))</f>
        <v/>
      </c>
      <c r="D47">
        <f>IF(B47=0,1,IF(Inputs!$B$3="weibull",EXP(-(B47/CHOOSE(MATCH(Inputs!$B$3,{"weibull","lognormal","loglogistic"},0),Inputs!$F$8,Inputs!$F$10,Inputs!$F$12))^CHOOSE(MATCH(Inputs!$B$3,{"weibull","lognormal","loglogistic"},0),Inputs!$D$8,Inputs!$D$10,Inputs!$D$12)),IF(Inputs!$B$3="loglogistic",1/(1+(B47/CHOOSE(MATCH(Inputs!$B$3,{"weibull","lognormal","loglogistic"},0),Inputs!$F$8,Inputs!$F$10,Inputs!$F$12))^CHOOSE(MATCH(Inputs!$B$3,{"weibull","lognormal","loglogistic"},0),Inputs!$D$8,Inputs!$D$10,Inputs!$D$12)),1-NORM.S.DIST((LN(B47)-CHOOSE(MATCH(Inputs!$B$3,{"weibull","lognormal","loglogistic"},0),Inputs!$D$8,Inputs!$D$10,Inputs!$D$12))/CHOOSE(MATCH(Inputs!$B$3,{"weibull","lognormal","loglogistic"},0),Inputs!$F$8,Inputs!$F$10,Inputs!$F$12),TRUE))))</f>
        <v/>
      </c>
      <c r="E47">
        <f>(C46+C47)/2/12</f>
        <v/>
      </c>
      <c r="F47">
        <f>(D46+D47)/2/12</f>
        <v/>
      </c>
    </row>
    <row r="48">
      <c r="A48" t="n">
        <v>46</v>
      </c>
      <c r="B48">
        <f>A48/12</f>
        <v/>
      </c>
      <c r="C48">
        <f>IF(B48=0,1,IF(Inputs!$B$3="weibull",EXP(-(B48/CHOOSE(MATCH(Inputs!$B$3,{"weibull","lognormal","loglogistic"},0),Inputs!$F$7,Inputs!$F$9,Inputs!$F$11))^CHOOSE(MATCH(Inputs!$B$3,{"weibull","lognormal","loglogistic"},0),Inputs!$D$7,Inputs!$D$9,Inputs!$D$11)),IF(Inputs!$B$3="loglogistic",1/(1+(B48/CHOOSE(MATCH(Inputs!$B$3,{"weibull","lognormal","loglogistic"},0),Inputs!$F$7,Inputs!$F$9,Inputs!$F$11))^CHOOSE(MATCH(Inputs!$B$3,{"weibull","lognormal","loglogistic"},0),Inputs!$D$7,Inputs!$D$9,Inputs!$D$11)),1-NORM.S.DIST((LN(B48)-CHOOSE(MATCH(Inputs!$B$3,{"weibull","lognormal","loglogistic"},0),Inputs!$D$7,Inputs!$D$9,Inputs!$D$11))/CHOOSE(MATCH(Inputs!$B$3,{"weibull","lognormal","loglogistic"},0),Inputs!$F$7,Inputs!$F$9,Inputs!$F$11),TRUE))))</f>
        <v/>
      </c>
      <c r="D48">
        <f>IF(B48=0,1,IF(Inputs!$B$3="weibull",EXP(-(B48/CHOOSE(MATCH(Inputs!$B$3,{"weibull","lognormal","loglogistic"},0),Inputs!$F$8,Inputs!$F$10,Inputs!$F$12))^CHOOSE(MATCH(Inputs!$B$3,{"weibull","lognormal","loglogistic"},0),Inputs!$D$8,Inputs!$D$10,Inputs!$D$12)),IF(Inputs!$B$3="loglogistic",1/(1+(B48/CHOOSE(MATCH(Inputs!$B$3,{"weibull","lognormal","loglogistic"},0),Inputs!$F$8,Inputs!$F$10,Inputs!$F$12))^CHOOSE(MATCH(Inputs!$B$3,{"weibull","lognormal","loglogistic"},0),Inputs!$D$8,Inputs!$D$10,Inputs!$D$12)),1-NORM.S.DIST((LN(B48)-CHOOSE(MATCH(Inputs!$B$3,{"weibull","lognormal","loglogistic"},0),Inputs!$D$8,Inputs!$D$10,Inputs!$D$12))/CHOOSE(MATCH(Inputs!$B$3,{"weibull","lognormal","loglogistic"},0),Inputs!$F$8,Inputs!$F$10,Inputs!$F$12),TRUE))))</f>
        <v/>
      </c>
      <c r="E48">
        <f>(C47+C48)/2/12</f>
        <v/>
      </c>
      <c r="F48">
        <f>(D47+D48)/2/12</f>
        <v/>
      </c>
    </row>
    <row r="49">
      <c r="A49" t="n">
        <v>47</v>
      </c>
      <c r="B49">
        <f>A49/12</f>
        <v/>
      </c>
      <c r="C49">
        <f>IF(B49=0,1,IF(Inputs!$B$3="weibull",EXP(-(B49/CHOOSE(MATCH(Inputs!$B$3,{"weibull","lognormal","loglogistic"},0),Inputs!$F$7,Inputs!$F$9,Inputs!$F$11))^CHOOSE(MATCH(Inputs!$B$3,{"weibull","lognormal","loglogistic"},0),Inputs!$D$7,Inputs!$D$9,Inputs!$D$11)),IF(Inputs!$B$3="loglogistic",1/(1+(B49/CHOOSE(MATCH(Inputs!$B$3,{"weibull","lognormal","loglogistic"},0),Inputs!$F$7,Inputs!$F$9,Inputs!$F$11))^CHOOSE(MATCH(Inputs!$B$3,{"weibull","lognormal","loglogistic"},0),Inputs!$D$7,Inputs!$D$9,Inputs!$D$11)),1-NORM.S.DIST((LN(B49)-CHOOSE(MATCH(Inputs!$B$3,{"weibull","lognormal","loglogistic"},0),Inputs!$D$7,Inputs!$D$9,Inputs!$D$11))/CHOOSE(MATCH(Inputs!$B$3,{"weibull","lognormal","loglogistic"},0),Inputs!$F$7,Inputs!$F$9,Inputs!$F$11),TRUE))))</f>
        <v/>
      </c>
      <c r="D49">
        <f>IF(B49=0,1,IF(Inputs!$B$3="weibull",EXP(-(B49/CHOOSE(MATCH(Inputs!$B$3,{"weibull","lognormal","loglogistic"},0),Inputs!$F$8,Inputs!$F$10,Inputs!$F$12))^CHOOSE(MATCH(Inputs!$B$3,{"weibull","lognormal","loglogistic"},0),Inputs!$D$8,Inputs!$D$10,Inputs!$D$12)),IF(Inputs!$B$3="loglogistic",1/(1+(B49/CHOOSE(MATCH(Inputs!$B$3,{"weibull","lognormal","loglogistic"},0),Inputs!$F$8,Inputs!$F$10,Inputs!$F$12))^CHOOSE(MATCH(Inputs!$B$3,{"weibull","lognormal","loglogistic"},0),Inputs!$D$8,Inputs!$D$10,Inputs!$D$12)),1-NORM.S.DIST((LN(B49)-CHOOSE(MATCH(Inputs!$B$3,{"weibull","lognormal","loglogistic"},0),Inputs!$D$8,Inputs!$D$10,Inputs!$D$12))/CHOOSE(MATCH(Inputs!$B$3,{"weibull","lognormal","loglogistic"},0),Inputs!$F$8,Inputs!$F$10,Inputs!$F$12),TRUE))))</f>
        <v/>
      </c>
      <c r="E49">
        <f>(C48+C49)/2/12</f>
        <v/>
      </c>
      <c r="F49">
        <f>(D48+D49)/2/12</f>
        <v/>
      </c>
    </row>
    <row r="50">
      <c r="A50" t="n">
        <v>48</v>
      </c>
      <c r="B50">
        <f>A50/12</f>
        <v/>
      </c>
      <c r="C50">
        <f>IF(B50=0,1,IF(Inputs!$B$3="weibull",EXP(-(B50/CHOOSE(MATCH(Inputs!$B$3,{"weibull","lognormal","loglogistic"},0),Inputs!$F$7,Inputs!$F$9,Inputs!$F$11))^CHOOSE(MATCH(Inputs!$B$3,{"weibull","lognormal","loglogistic"},0),Inputs!$D$7,Inputs!$D$9,Inputs!$D$11)),IF(Inputs!$B$3="loglogistic",1/(1+(B50/CHOOSE(MATCH(Inputs!$B$3,{"weibull","lognormal","loglogistic"},0),Inputs!$F$7,Inputs!$F$9,Inputs!$F$11))^CHOOSE(MATCH(Inputs!$B$3,{"weibull","lognormal","loglogistic"},0),Inputs!$D$7,Inputs!$D$9,Inputs!$D$11)),1-NORM.S.DIST((LN(B50)-CHOOSE(MATCH(Inputs!$B$3,{"weibull","lognormal","loglogistic"},0),Inputs!$D$7,Inputs!$D$9,Inputs!$D$11))/CHOOSE(MATCH(Inputs!$B$3,{"weibull","lognormal","loglogistic"},0),Inputs!$F$7,Inputs!$F$9,Inputs!$F$11),TRUE))))</f>
        <v/>
      </c>
      <c r="D50">
        <f>IF(B50=0,1,IF(Inputs!$B$3="weibull",EXP(-(B50/CHOOSE(MATCH(Inputs!$B$3,{"weibull","lognormal","loglogistic"},0),Inputs!$F$8,Inputs!$F$10,Inputs!$F$12))^CHOOSE(MATCH(Inputs!$B$3,{"weibull","lognormal","loglogistic"},0),Inputs!$D$8,Inputs!$D$10,Inputs!$D$12)),IF(Inputs!$B$3="loglogistic",1/(1+(B50/CHOOSE(MATCH(Inputs!$B$3,{"weibull","lognormal","loglogistic"},0),Inputs!$F$8,Inputs!$F$10,Inputs!$F$12))^CHOOSE(MATCH(Inputs!$B$3,{"weibull","lognormal","loglogistic"},0),Inputs!$D$8,Inputs!$D$10,Inputs!$D$12)),1-NORM.S.DIST((LN(B50)-CHOOSE(MATCH(Inputs!$B$3,{"weibull","lognormal","loglogistic"},0),Inputs!$D$8,Inputs!$D$10,Inputs!$D$12))/CHOOSE(MATCH(Inputs!$B$3,{"weibull","lognormal","loglogistic"},0),Inputs!$F$8,Inputs!$F$10,Inputs!$F$12),TRUE))))</f>
        <v/>
      </c>
      <c r="E50">
        <f>(C49+C50)/2/12</f>
        <v/>
      </c>
      <c r="F50">
        <f>(D49+D50)/2/12</f>
        <v/>
      </c>
    </row>
    <row r="51">
      <c r="A51" t="n">
        <v>49</v>
      </c>
      <c r="B51">
        <f>A51/12</f>
        <v/>
      </c>
      <c r="C51">
        <f>IF(B51=0,1,IF(Inputs!$B$3="weibull",EXP(-(B51/CHOOSE(MATCH(Inputs!$B$3,{"weibull","lognormal","loglogistic"},0),Inputs!$F$7,Inputs!$F$9,Inputs!$F$11))^CHOOSE(MATCH(Inputs!$B$3,{"weibull","lognormal","loglogistic"},0),Inputs!$D$7,Inputs!$D$9,Inputs!$D$11)),IF(Inputs!$B$3="loglogistic",1/(1+(B51/CHOOSE(MATCH(Inputs!$B$3,{"weibull","lognormal","loglogistic"},0),Inputs!$F$7,Inputs!$F$9,Inputs!$F$11))^CHOOSE(MATCH(Inputs!$B$3,{"weibull","lognormal","loglogistic"},0),Inputs!$D$7,Inputs!$D$9,Inputs!$D$11)),1-NORM.S.DIST((LN(B51)-CHOOSE(MATCH(Inputs!$B$3,{"weibull","lognormal","loglogistic"},0),Inputs!$D$7,Inputs!$D$9,Inputs!$D$11))/CHOOSE(MATCH(Inputs!$B$3,{"weibull","lognormal","loglogistic"},0),Inputs!$F$7,Inputs!$F$9,Inputs!$F$11),TRUE))))</f>
        <v/>
      </c>
      <c r="D51">
        <f>IF(B51=0,1,IF(Inputs!$B$3="weibull",EXP(-(B51/CHOOSE(MATCH(Inputs!$B$3,{"weibull","lognormal","loglogistic"},0),Inputs!$F$8,Inputs!$F$10,Inputs!$F$12))^CHOOSE(MATCH(Inputs!$B$3,{"weibull","lognormal","loglogistic"},0),Inputs!$D$8,Inputs!$D$10,Inputs!$D$12)),IF(Inputs!$B$3="loglogistic",1/(1+(B51/CHOOSE(MATCH(Inputs!$B$3,{"weibull","lognormal","loglogistic"},0),Inputs!$F$8,Inputs!$F$10,Inputs!$F$12))^CHOOSE(MATCH(Inputs!$B$3,{"weibull","lognormal","loglogistic"},0),Inputs!$D$8,Inputs!$D$10,Inputs!$D$12)),1-NORM.S.DIST((LN(B51)-CHOOSE(MATCH(Inputs!$B$3,{"weibull","lognormal","loglogistic"},0),Inputs!$D$8,Inputs!$D$10,Inputs!$D$12))/CHOOSE(MATCH(Inputs!$B$3,{"weibull","lognormal","loglogistic"},0),Inputs!$F$8,Inputs!$F$10,Inputs!$F$12),TRUE))))</f>
        <v/>
      </c>
      <c r="E51">
        <f>(C50+C51)/2/12</f>
        <v/>
      </c>
      <c r="F51">
        <f>(D50+D51)/2/12</f>
        <v/>
      </c>
    </row>
    <row r="52">
      <c r="A52" t="n">
        <v>50</v>
      </c>
      <c r="B52">
        <f>A52/12</f>
        <v/>
      </c>
      <c r="C52">
        <f>IF(B52=0,1,IF(Inputs!$B$3="weibull",EXP(-(B52/CHOOSE(MATCH(Inputs!$B$3,{"weibull","lognormal","loglogistic"},0),Inputs!$F$7,Inputs!$F$9,Inputs!$F$11))^CHOOSE(MATCH(Inputs!$B$3,{"weibull","lognormal","loglogistic"},0),Inputs!$D$7,Inputs!$D$9,Inputs!$D$11)),IF(Inputs!$B$3="loglogistic",1/(1+(B52/CHOOSE(MATCH(Inputs!$B$3,{"weibull","lognormal","loglogistic"},0),Inputs!$F$7,Inputs!$F$9,Inputs!$F$11))^CHOOSE(MATCH(Inputs!$B$3,{"weibull","lognormal","loglogistic"},0),Inputs!$D$7,Inputs!$D$9,Inputs!$D$11)),1-NORM.S.DIST((LN(B52)-CHOOSE(MATCH(Inputs!$B$3,{"weibull","lognormal","loglogistic"},0),Inputs!$D$7,Inputs!$D$9,Inputs!$D$11))/CHOOSE(MATCH(Inputs!$B$3,{"weibull","lognormal","loglogistic"},0),Inputs!$F$7,Inputs!$F$9,Inputs!$F$11),TRUE))))</f>
        <v/>
      </c>
      <c r="D52">
        <f>IF(B52=0,1,IF(Inputs!$B$3="weibull",EXP(-(B52/CHOOSE(MATCH(Inputs!$B$3,{"weibull","lognormal","loglogistic"},0),Inputs!$F$8,Inputs!$F$10,Inputs!$F$12))^CHOOSE(MATCH(Inputs!$B$3,{"weibull","lognormal","loglogistic"},0),Inputs!$D$8,Inputs!$D$10,Inputs!$D$12)),IF(Inputs!$B$3="loglogistic",1/(1+(B52/CHOOSE(MATCH(Inputs!$B$3,{"weibull","lognormal","loglogistic"},0),Inputs!$F$8,Inputs!$F$10,Inputs!$F$12))^CHOOSE(MATCH(Inputs!$B$3,{"weibull","lognormal","loglogistic"},0),Inputs!$D$8,Inputs!$D$10,Inputs!$D$12)),1-NORM.S.DIST((LN(B52)-CHOOSE(MATCH(Inputs!$B$3,{"weibull","lognormal","loglogistic"},0),Inputs!$D$8,Inputs!$D$10,Inputs!$D$12))/CHOOSE(MATCH(Inputs!$B$3,{"weibull","lognormal","loglogistic"},0),Inputs!$F$8,Inputs!$F$10,Inputs!$F$12),TRUE))))</f>
        <v/>
      </c>
      <c r="E52">
        <f>(C51+C52)/2/12</f>
        <v/>
      </c>
      <c r="F52">
        <f>(D51+D52)/2/12</f>
        <v/>
      </c>
    </row>
    <row r="53">
      <c r="A53" t="n">
        <v>51</v>
      </c>
      <c r="B53">
        <f>A53/12</f>
        <v/>
      </c>
      <c r="C53">
        <f>IF(B53=0,1,IF(Inputs!$B$3="weibull",EXP(-(B53/CHOOSE(MATCH(Inputs!$B$3,{"weibull","lognormal","loglogistic"},0),Inputs!$F$7,Inputs!$F$9,Inputs!$F$11))^CHOOSE(MATCH(Inputs!$B$3,{"weibull","lognormal","loglogistic"},0),Inputs!$D$7,Inputs!$D$9,Inputs!$D$11)),IF(Inputs!$B$3="loglogistic",1/(1+(B53/CHOOSE(MATCH(Inputs!$B$3,{"weibull","lognormal","loglogistic"},0),Inputs!$F$7,Inputs!$F$9,Inputs!$F$11))^CHOOSE(MATCH(Inputs!$B$3,{"weibull","lognormal","loglogistic"},0),Inputs!$D$7,Inputs!$D$9,Inputs!$D$11)),1-NORM.S.DIST((LN(B53)-CHOOSE(MATCH(Inputs!$B$3,{"weibull","lognormal","loglogistic"},0),Inputs!$D$7,Inputs!$D$9,Inputs!$D$11))/CHOOSE(MATCH(Inputs!$B$3,{"weibull","lognormal","loglogistic"},0),Inputs!$F$7,Inputs!$F$9,Inputs!$F$11),TRUE))))</f>
        <v/>
      </c>
      <c r="D53">
        <f>IF(B53=0,1,IF(Inputs!$B$3="weibull",EXP(-(B53/CHOOSE(MATCH(Inputs!$B$3,{"weibull","lognormal","loglogistic"},0),Inputs!$F$8,Inputs!$F$10,Inputs!$F$12))^CHOOSE(MATCH(Inputs!$B$3,{"weibull","lognormal","loglogistic"},0),Inputs!$D$8,Inputs!$D$10,Inputs!$D$12)),IF(Inputs!$B$3="loglogistic",1/(1+(B53/CHOOSE(MATCH(Inputs!$B$3,{"weibull","lognormal","loglogistic"},0),Inputs!$F$8,Inputs!$F$10,Inputs!$F$12))^CHOOSE(MATCH(Inputs!$B$3,{"weibull","lognormal","loglogistic"},0),Inputs!$D$8,Inputs!$D$10,Inputs!$D$12)),1-NORM.S.DIST((LN(B53)-CHOOSE(MATCH(Inputs!$B$3,{"weibull","lognormal","loglogistic"},0),Inputs!$D$8,Inputs!$D$10,Inputs!$D$12))/CHOOSE(MATCH(Inputs!$B$3,{"weibull","lognormal","loglogistic"},0),Inputs!$F$8,Inputs!$F$10,Inputs!$F$12),TRUE))))</f>
        <v/>
      </c>
      <c r="E53">
        <f>(C52+C53)/2/12</f>
        <v/>
      </c>
      <c r="F53">
        <f>(D52+D53)/2/12</f>
        <v/>
      </c>
    </row>
    <row r="54">
      <c r="A54" t="n">
        <v>52</v>
      </c>
      <c r="B54">
        <f>A54/12</f>
        <v/>
      </c>
      <c r="C54">
        <f>IF(B54=0,1,IF(Inputs!$B$3="weibull",EXP(-(B54/CHOOSE(MATCH(Inputs!$B$3,{"weibull","lognormal","loglogistic"},0),Inputs!$F$7,Inputs!$F$9,Inputs!$F$11))^CHOOSE(MATCH(Inputs!$B$3,{"weibull","lognormal","loglogistic"},0),Inputs!$D$7,Inputs!$D$9,Inputs!$D$11)),IF(Inputs!$B$3="loglogistic",1/(1+(B54/CHOOSE(MATCH(Inputs!$B$3,{"weibull","lognormal","loglogistic"},0),Inputs!$F$7,Inputs!$F$9,Inputs!$F$11))^CHOOSE(MATCH(Inputs!$B$3,{"weibull","lognormal","loglogistic"},0),Inputs!$D$7,Inputs!$D$9,Inputs!$D$11)),1-NORM.S.DIST((LN(B54)-CHOOSE(MATCH(Inputs!$B$3,{"weibull","lognormal","loglogistic"},0),Inputs!$D$7,Inputs!$D$9,Inputs!$D$11))/CHOOSE(MATCH(Inputs!$B$3,{"weibull","lognormal","loglogistic"},0),Inputs!$F$7,Inputs!$F$9,Inputs!$F$11),TRUE))))</f>
        <v/>
      </c>
      <c r="D54">
        <f>IF(B54=0,1,IF(Inputs!$B$3="weibull",EXP(-(B54/CHOOSE(MATCH(Inputs!$B$3,{"weibull","lognormal","loglogistic"},0),Inputs!$F$8,Inputs!$F$10,Inputs!$F$12))^CHOOSE(MATCH(Inputs!$B$3,{"weibull","lognormal","loglogistic"},0),Inputs!$D$8,Inputs!$D$10,Inputs!$D$12)),IF(Inputs!$B$3="loglogistic",1/(1+(B54/CHOOSE(MATCH(Inputs!$B$3,{"weibull","lognormal","loglogistic"},0),Inputs!$F$8,Inputs!$F$10,Inputs!$F$12))^CHOOSE(MATCH(Inputs!$B$3,{"weibull","lognormal","loglogistic"},0),Inputs!$D$8,Inputs!$D$10,Inputs!$D$12)),1-NORM.S.DIST((LN(B54)-CHOOSE(MATCH(Inputs!$B$3,{"weibull","lognormal","loglogistic"},0),Inputs!$D$8,Inputs!$D$10,Inputs!$D$12))/CHOOSE(MATCH(Inputs!$B$3,{"weibull","lognormal","loglogistic"},0),Inputs!$F$8,Inputs!$F$10,Inputs!$F$12),TRUE))))</f>
        <v/>
      </c>
      <c r="E54">
        <f>(C53+C54)/2/12</f>
        <v/>
      </c>
      <c r="F54">
        <f>(D53+D54)/2/12</f>
        <v/>
      </c>
    </row>
    <row r="55">
      <c r="A55" t="n">
        <v>53</v>
      </c>
      <c r="B55">
        <f>A55/12</f>
        <v/>
      </c>
      <c r="C55">
        <f>IF(B55=0,1,IF(Inputs!$B$3="weibull",EXP(-(B55/CHOOSE(MATCH(Inputs!$B$3,{"weibull","lognormal","loglogistic"},0),Inputs!$F$7,Inputs!$F$9,Inputs!$F$11))^CHOOSE(MATCH(Inputs!$B$3,{"weibull","lognormal","loglogistic"},0),Inputs!$D$7,Inputs!$D$9,Inputs!$D$11)),IF(Inputs!$B$3="loglogistic",1/(1+(B55/CHOOSE(MATCH(Inputs!$B$3,{"weibull","lognormal","loglogistic"},0),Inputs!$F$7,Inputs!$F$9,Inputs!$F$11))^CHOOSE(MATCH(Inputs!$B$3,{"weibull","lognormal","loglogistic"},0),Inputs!$D$7,Inputs!$D$9,Inputs!$D$11)),1-NORM.S.DIST((LN(B55)-CHOOSE(MATCH(Inputs!$B$3,{"weibull","lognormal","loglogistic"},0),Inputs!$D$7,Inputs!$D$9,Inputs!$D$11))/CHOOSE(MATCH(Inputs!$B$3,{"weibull","lognormal","loglogistic"},0),Inputs!$F$7,Inputs!$F$9,Inputs!$F$11),TRUE))))</f>
        <v/>
      </c>
      <c r="D55">
        <f>IF(B55=0,1,IF(Inputs!$B$3="weibull",EXP(-(B55/CHOOSE(MATCH(Inputs!$B$3,{"weibull","lognormal","loglogistic"},0),Inputs!$F$8,Inputs!$F$10,Inputs!$F$12))^CHOOSE(MATCH(Inputs!$B$3,{"weibull","lognormal","loglogistic"},0),Inputs!$D$8,Inputs!$D$10,Inputs!$D$12)),IF(Inputs!$B$3="loglogistic",1/(1+(B55/CHOOSE(MATCH(Inputs!$B$3,{"weibull","lognormal","loglogistic"},0),Inputs!$F$8,Inputs!$F$10,Inputs!$F$12))^CHOOSE(MATCH(Inputs!$B$3,{"weibull","lognormal","loglogistic"},0),Inputs!$D$8,Inputs!$D$10,Inputs!$D$12)),1-NORM.S.DIST((LN(B55)-CHOOSE(MATCH(Inputs!$B$3,{"weibull","lognormal","loglogistic"},0),Inputs!$D$8,Inputs!$D$10,Inputs!$D$12))/CHOOSE(MATCH(Inputs!$B$3,{"weibull","lognormal","loglogistic"},0),Inputs!$F$8,Inputs!$F$10,Inputs!$F$12),TRUE))))</f>
        <v/>
      </c>
      <c r="E55">
        <f>(C54+C55)/2/12</f>
        <v/>
      </c>
      <c r="F55">
        <f>(D54+D55)/2/12</f>
        <v/>
      </c>
    </row>
    <row r="56">
      <c r="A56" t="n">
        <v>54</v>
      </c>
      <c r="B56">
        <f>A56/12</f>
        <v/>
      </c>
      <c r="C56">
        <f>IF(B56=0,1,IF(Inputs!$B$3="weibull",EXP(-(B56/CHOOSE(MATCH(Inputs!$B$3,{"weibull","lognormal","loglogistic"},0),Inputs!$F$7,Inputs!$F$9,Inputs!$F$11))^CHOOSE(MATCH(Inputs!$B$3,{"weibull","lognormal","loglogistic"},0),Inputs!$D$7,Inputs!$D$9,Inputs!$D$11)),IF(Inputs!$B$3="loglogistic",1/(1+(B56/CHOOSE(MATCH(Inputs!$B$3,{"weibull","lognormal","loglogistic"},0),Inputs!$F$7,Inputs!$F$9,Inputs!$F$11))^CHOOSE(MATCH(Inputs!$B$3,{"weibull","lognormal","loglogistic"},0),Inputs!$D$7,Inputs!$D$9,Inputs!$D$11)),1-NORM.S.DIST((LN(B56)-CHOOSE(MATCH(Inputs!$B$3,{"weibull","lognormal","loglogistic"},0),Inputs!$D$7,Inputs!$D$9,Inputs!$D$11))/CHOOSE(MATCH(Inputs!$B$3,{"weibull","lognormal","loglogistic"},0),Inputs!$F$7,Inputs!$F$9,Inputs!$F$11),TRUE))))</f>
        <v/>
      </c>
      <c r="D56">
        <f>IF(B56=0,1,IF(Inputs!$B$3="weibull",EXP(-(B56/CHOOSE(MATCH(Inputs!$B$3,{"weibull","lognormal","loglogistic"},0),Inputs!$F$8,Inputs!$F$10,Inputs!$F$12))^CHOOSE(MATCH(Inputs!$B$3,{"weibull","lognormal","loglogistic"},0),Inputs!$D$8,Inputs!$D$10,Inputs!$D$12)),IF(Inputs!$B$3="loglogistic",1/(1+(B56/CHOOSE(MATCH(Inputs!$B$3,{"weibull","lognormal","loglogistic"},0),Inputs!$F$8,Inputs!$F$10,Inputs!$F$12))^CHOOSE(MATCH(Inputs!$B$3,{"weibull","lognormal","loglogistic"},0),Inputs!$D$8,Inputs!$D$10,Inputs!$D$12)),1-NORM.S.DIST((LN(B56)-CHOOSE(MATCH(Inputs!$B$3,{"weibull","lognormal","loglogistic"},0),Inputs!$D$8,Inputs!$D$10,Inputs!$D$12))/CHOOSE(MATCH(Inputs!$B$3,{"weibull","lognormal","loglogistic"},0),Inputs!$F$8,Inputs!$F$10,Inputs!$F$12),TRUE))))</f>
        <v/>
      </c>
      <c r="E56">
        <f>(C55+C56)/2/12</f>
        <v/>
      </c>
      <c r="F56">
        <f>(D55+D56)/2/12</f>
        <v/>
      </c>
    </row>
    <row r="57">
      <c r="A57" t="n">
        <v>55</v>
      </c>
      <c r="B57">
        <f>A57/12</f>
        <v/>
      </c>
      <c r="C57">
        <f>IF(B57=0,1,IF(Inputs!$B$3="weibull",EXP(-(B57/CHOOSE(MATCH(Inputs!$B$3,{"weibull","lognormal","loglogistic"},0),Inputs!$F$7,Inputs!$F$9,Inputs!$F$11))^CHOOSE(MATCH(Inputs!$B$3,{"weibull","lognormal","loglogistic"},0),Inputs!$D$7,Inputs!$D$9,Inputs!$D$11)),IF(Inputs!$B$3="loglogistic",1/(1+(B57/CHOOSE(MATCH(Inputs!$B$3,{"weibull","lognormal","loglogistic"},0),Inputs!$F$7,Inputs!$F$9,Inputs!$F$11))^CHOOSE(MATCH(Inputs!$B$3,{"weibull","lognormal","loglogistic"},0),Inputs!$D$7,Inputs!$D$9,Inputs!$D$11)),1-NORM.S.DIST((LN(B57)-CHOOSE(MATCH(Inputs!$B$3,{"weibull","lognormal","loglogistic"},0),Inputs!$D$7,Inputs!$D$9,Inputs!$D$11))/CHOOSE(MATCH(Inputs!$B$3,{"weibull","lognormal","loglogistic"},0),Inputs!$F$7,Inputs!$F$9,Inputs!$F$11),TRUE))))</f>
        <v/>
      </c>
      <c r="D57">
        <f>IF(B57=0,1,IF(Inputs!$B$3="weibull",EXP(-(B57/CHOOSE(MATCH(Inputs!$B$3,{"weibull","lognormal","loglogistic"},0),Inputs!$F$8,Inputs!$F$10,Inputs!$F$12))^CHOOSE(MATCH(Inputs!$B$3,{"weibull","lognormal","loglogistic"},0),Inputs!$D$8,Inputs!$D$10,Inputs!$D$12)),IF(Inputs!$B$3="loglogistic",1/(1+(B57/CHOOSE(MATCH(Inputs!$B$3,{"weibull","lognormal","loglogistic"},0),Inputs!$F$8,Inputs!$F$10,Inputs!$F$12))^CHOOSE(MATCH(Inputs!$B$3,{"weibull","lognormal","loglogistic"},0),Inputs!$D$8,Inputs!$D$10,Inputs!$D$12)),1-NORM.S.DIST((LN(B57)-CHOOSE(MATCH(Inputs!$B$3,{"weibull","lognormal","loglogistic"},0),Inputs!$D$8,Inputs!$D$10,Inputs!$D$12))/CHOOSE(MATCH(Inputs!$B$3,{"weibull","lognormal","loglogistic"},0),Inputs!$F$8,Inputs!$F$10,Inputs!$F$12),TRUE))))</f>
        <v/>
      </c>
      <c r="E57">
        <f>(C56+C57)/2/12</f>
        <v/>
      </c>
      <c r="F57">
        <f>(D56+D57)/2/12</f>
        <v/>
      </c>
    </row>
    <row r="58">
      <c r="A58" t="n">
        <v>56</v>
      </c>
      <c r="B58">
        <f>A58/12</f>
        <v/>
      </c>
      <c r="C58">
        <f>IF(B58=0,1,IF(Inputs!$B$3="weibull",EXP(-(B58/CHOOSE(MATCH(Inputs!$B$3,{"weibull","lognormal","loglogistic"},0),Inputs!$F$7,Inputs!$F$9,Inputs!$F$11))^CHOOSE(MATCH(Inputs!$B$3,{"weibull","lognormal","loglogistic"},0),Inputs!$D$7,Inputs!$D$9,Inputs!$D$11)),IF(Inputs!$B$3="loglogistic",1/(1+(B58/CHOOSE(MATCH(Inputs!$B$3,{"weibull","lognormal","loglogistic"},0),Inputs!$F$7,Inputs!$F$9,Inputs!$F$11))^CHOOSE(MATCH(Inputs!$B$3,{"weibull","lognormal","loglogistic"},0),Inputs!$D$7,Inputs!$D$9,Inputs!$D$11)),1-NORM.S.DIST((LN(B58)-CHOOSE(MATCH(Inputs!$B$3,{"weibull","lognormal","loglogistic"},0),Inputs!$D$7,Inputs!$D$9,Inputs!$D$11))/CHOOSE(MATCH(Inputs!$B$3,{"weibull","lognormal","loglogistic"},0),Inputs!$F$7,Inputs!$F$9,Inputs!$F$11),TRUE))))</f>
        <v/>
      </c>
      <c r="D58">
        <f>IF(B58=0,1,IF(Inputs!$B$3="weibull",EXP(-(B58/CHOOSE(MATCH(Inputs!$B$3,{"weibull","lognormal","loglogistic"},0),Inputs!$F$8,Inputs!$F$10,Inputs!$F$12))^CHOOSE(MATCH(Inputs!$B$3,{"weibull","lognormal","loglogistic"},0),Inputs!$D$8,Inputs!$D$10,Inputs!$D$12)),IF(Inputs!$B$3="loglogistic",1/(1+(B58/CHOOSE(MATCH(Inputs!$B$3,{"weibull","lognormal","loglogistic"},0),Inputs!$F$8,Inputs!$F$10,Inputs!$F$12))^CHOOSE(MATCH(Inputs!$B$3,{"weibull","lognormal","loglogistic"},0),Inputs!$D$8,Inputs!$D$10,Inputs!$D$12)),1-NORM.S.DIST((LN(B58)-CHOOSE(MATCH(Inputs!$B$3,{"weibull","lognormal","loglogistic"},0),Inputs!$D$8,Inputs!$D$10,Inputs!$D$12))/CHOOSE(MATCH(Inputs!$B$3,{"weibull","lognormal","loglogistic"},0),Inputs!$F$8,Inputs!$F$10,Inputs!$F$12),TRUE))))</f>
        <v/>
      </c>
      <c r="E58">
        <f>(C57+C58)/2/12</f>
        <v/>
      </c>
      <c r="F58">
        <f>(D57+D58)/2/12</f>
        <v/>
      </c>
    </row>
    <row r="59">
      <c r="A59" t="n">
        <v>57</v>
      </c>
      <c r="B59">
        <f>A59/12</f>
        <v/>
      </c>
      <c r="C59">
        <f>IF(B59=0,1,IF(Inputs!$B$3="weibull",EXP(-(B59/CHOOSE(MATCH(Inputs!$B$3,{"weibull","lognormal","loglogistic"},0),Inputs!$F$7,Inputs!$F$9,Inputs!$F$11))^CHOOSE(MATCH(Inputs!$B$3,{"weibull","lognormal","loglogistic"},0),Inputs!$D$7,Inputs!$D$9,Inputs!$D$11)),IF(Inputs!$B$3="loglogistic",1/(1+(B59/CHOOSE(MATCH(Inputs!$B$3,{"weibull","lognormal","loglogistic"},0),Inputs!$F$7,Inputs!$F$9,Inputs!$F$11))^CHOOSE(MATCH(Inputs!$B$3,{"weibull","lognormal","loglogistic"},0),Inputs!$D$7,Inputs!$D$9,Inputs!$D$11)),1-NORM.S.DIST((LN(B59)-CHOOSE(MATCH(Inputs!$B$3,{"weibull","lognormal","loglogistic"},0),Inputs!$D$7,Inputs!$D$9,Inputs!$D$11))/CHOOSE(MATCH(Inputs!$B$3,{"weibull","lognormal","loglogistic"},0),Inputs!$F$7,Inputs!$F$9,Inputs!$F$11),TRUE))))</f>
        <v/>
      </c>
      <c r="D59">
        <f>IF(B59=0,1,IF(Inputs!$B$3="weibull",EXP(-(B59/CHOOSE(MATCH(Inputs!$B$3,{"weibull","lognormal","loglogistic"},0),Inputs!$F$8,Inputs!$F$10,Inputs!$F$12))^CHOOSE(MATCH(Inputs!$B$3,{"weibull","lognormal","loglogistic"},0),Inputs!$D$8,Inputs!$D$10,Inputs!$D$12)),IF(Inputs!$B$3="loglogistic",1/(1+(B59/CHOOSE(MATCH(Inputs!$B$3,{"weibull","lognormal","loglogistic"},0),Inputs!$F$8,Inputs!$F$10,Inputs!$F$12))^CHOOSE(MATCH(Inputs!$B$3,{"weibull","lognormal","loglogistic"},0),Inputs!$D$8,Inputs!$D$10,Inputs!$D$12)),1-NORM.S.DIST((LN(B59)-CHOOSE(MATCH(Inputs!$B$3,{"weibull","lognormal","loglogistic"},0),Inputs!$D$8,Inputs!$D$10,Inputs!$D$12))/CHOOSE(MATCH(Inputs!$B$3,{"weibull","lognormal","loglogistic"},0),Inputs!$F$8,Inputs!$F$10,Inputs!$F$12),TRUE))))</f>
        <v/>
      </c>
      <c r="E59">
        <f>(C58+C59)/2/12</f>
        <v/>
      </c>
      <c r="F59">
        <f>(D58+D59)/2/12</f>
        <v/>
      </c>
    </row>
    <row r="60">
      <c r="A60" t="n">
        <v>58</v>
      </c>
      <c r="B60">
        <f>A60/12</f>
        <v/>
      </c>
      <c r="C60">
        <f>IF(B60=0,1,IF(Inputs!$B$3="weibull",EXP(-(B60/CHOOSE(MATCH(Inputs!$B$3,{"weibull","lognormal","loglogistic"},0),Inputs!$F$7,Inputs!$F$9,Inputs!$F$11))^CHOOSE(MATCH(Inputs!$B$3,{"weibull","lognormal","loglogistic"},0),Inputs!$D$7,Inputs!$D$9,Inputs!$D$11)),IF(Inputs!$B$3="loglogistic",1/(1+(B60/CHOOSE(MATCH(Inputs!$B$3,{"weibull","lognormal","loglogistic"},0),Inputs!$F$7,Inputs!$F$9,Inputs!$F$11))^CHOOSE(MATCH(Inputs!$B$3,{"weibull","lognormal","loglogistic"},0),Inputs!$D$7,Inputs!$D$9,Inputs!$D$11)),1-NORM.S.DIST((LN(B60)-CHOOSE(MATCH(Inputs!$B$3,{"weibull","lognormal","loglogistic"},0),Inputs!$D$7,Inputs!$D$9,Inputs!$D$11))/CHOOSE(MATCH(Inputs!$B$3,{"weibull","lognormal","loglogistic"},0),Inputs!$F$7,Inputs!$F$9,Inputs!$F$11),TRUE))))</f>
        <v/>
      </c>
      <c r="D60">
        <f>IF(B60=0,1,IF(Inputs!$B$3="weibull",EXP(-(B60/CHOOSE(MATCH(Inputs!$B$3,{"weibull","lognormal","loglogistic"},0),Inputs!$F$8,Inputs!$F$10,Inputs!$F$12))^CHOOSE(MATCH(Inputs!$B$3,{"weibull","lognormal","loglogistic"},0),Inputs!$D$8,Inputs!$D$10,Inputs!$D$12)),IF(Inputs!$B$3="loglogistic",1/(1+(B60/CHOOSE(MATCH(Inputs!$B$3,{"weibull","lognormal","loglogistic"},0),Inputs!$F$8,Inputs!$F$10,Inputs!$F$12))^CHOOSE(MATCH(Inputs!$B$3,{"weibull","lognormal","loglogistic"},0),Inputs!$D$8,Inputs!$D$10,Inputs!$D$12)),1-NORM.S.DIST((LN(B60)-CHOOSE(MATCH(Inputs!$B$3,{"weibull","lognormal","loglogistic"},0),Inputs!$D$8,Inputs!$D$10,Inputs!$D$12))/CHOOSE(MATCH(Inputs!$B$3,{"weibull","lognormal","loglogistic"},0),Inputs!$F$8,Inputs!$F$10,Inputs!$F$12),TRUE))))</f>
        <v/>
      </c>
      <c r="E60">
        <f>(C59+C60)/2/12</f>
        <v/>
      </c>
      <c r="F60">
        <f>(D59+D60)/2/12</f>
        <v/>
      </c>
    </row>
    <row r="61">
      <c r="A61" t="n">
        <v>59</v>
      </c>
      <c r="B61">
        <f>A61/12</f>
        <v/>
      </c>
      <c r="C61">
        <f>IF(B61=0,1,IF(Inputs!$B$3="weibull",EXP(-(B61/CHOOSE(MATCH(Inputs!$B$3,{"weibull","lognormal","loglogistic"},0),Inputs!$F$7,Inputs!$F$9,Inputs!$F$11))^CHOOSE(MATCH(Inputs!$B$3,{"weibull","lognormal","loglogistic"},0),Inputs!$D$7,Inputs!$D$9,Inputs!$D$11)),IF(Inputs!$B$3="loglogistic",1/(1+(B61/CHOOSE(MATCH(Inputs!$B$3,{"weibull","lognormal","loglogistic"},0),Inputs!$F$7,Inputs!$F$9,Inputs!$F$11))^CHOOSE(MATCH(Inputs!$B$3,{"weibull","lognormal","loglogistic"},0),Inputs!$D$7,Inputs!$D$9,Inputs!$D$11)),1-NORM.S.DIST((LN(B61)-CHOOSE(MATCH(Inputs!$B$3,{"weibull","lognormal","loglogistic"},0),Inputs!$D$7,Inputs!$D$9,Inputs!$D$11))/CHOOSE(MATCH(Inputs!$B$3,{"weibull","lognormal","loglogistic"},0),Inputs!$F$7,Inputs!$F$9,Inputs!$F$11),TRUE))))</f>
        <v/>
      </c>
      <c r="D61">
        <f>IF(B61=0,1,IF(Inputs!$B$3="weibull",EXP(-(B61/CHOOSE(MATCH(Inputs!$B$3,{"weibull","lognormal","loglogistic"},0),Inputs!$F$8,Inputs!$F$10,Inputs!$F$12))^CHOOSE(MATCH(Inputs!$B$3,{"weibull","lognormal","loglogistic"},0),Inputs!$D$8,Inputs!$D$10,Inputs!$D$12)),IF(Inputs!$B$3="loglogistic",1/(1+(B61/CHOOSE(MATCH(Inputs!$B$3,{"weibull","lognormal","loglogistic"},0),Inputs!$F$8,Inputs!$F$10,Inputs!$F$12))^CHOOSE(MATCH(Inputs!$B$3,{"weibull","lognormal","loglogistic"},0),Inputs!$D$8,Inputs!$D$10,Inputs!$D$12)),1-NORM.S.DIST((LN(B61)-CHOOSE(MATCH(Inputs!$B$3,{"weibull","lognormal","loglogistic"},0),Inputs!$D$8,Inputs!$D$10,Inputs!$D$12))/CHOOSE(MATCH(Inputs!$B$3,{"weibull","lognormal","loglogistic"},0),Inputs!$F$8,Inputs!$F$10,Inputs!$F$12),TRUE))))</f>
        <v/>
      </c>
      <c r="E61">
        <f>(C60+C61)/2/12</f>
        <v/>
      </c>
      <c r="F61">
        <f>(D60+D61)/2/12</f>
        <v/>
      </c>
    </row>
    <row r="62">
      <c r="A62" t="n">
        <v>60</v>
      </c>
      <c r="B62">
        <f>A62/12</f>
        <v/>
      </c>
      <c r="C62">
        <f>IF(B62=0,1,IF(Inputs!$B$3="weibull",EXP(-(B62/CHOOSE(MATCH(Inputs!$B$3,{"weibull","lognormal","loglogistic"},0),Inputs!$F$7,Inputs!$F$9,Inputs!$F$11))^CHOOSE(MATCH(Inputs!$B$3,{"weibull","lognormal","loglogistic"},0),Inputs!$D$7,Inputs!$D$9,Inputs!$D$11)),IF(Inputs!$B$3="loglogistic",1/(1+(B62/CHOOSE(MATCH(Inputs!$B$3,{"weibull","lognormal","loglogistic"},0),Inputs!$F$7,Inputs!$F$9,Inputs!$F$11))^CHOOSE(MATCH(Inputs!$B$3,{"weibull","lognormal","loglogistic"},0),Inputs!$D$7,Inputs!$D$9,Inputs!$D$11)),1-NORM.S.DIST((LN(B62)-CHOOSE(MATCH(Inputs!$B$3,{"weibull","lognormal","loglogistic"},0),Inputs!$D$7,Inputs!$D$9,Inputs!$D$11))/CHOOSE(MATCH(Inputs!$B$3,{"weibull","lognormal","loglogistic"},0),Inputs!$F$7,Inputs!$F$9,Inputs!$F$11),TRUE))))</f>
        <v/>
      </c>
      <c r="D62">
        <f>IF(B62=0,1,IF(Inputs!$B$3="weibull",EXP(-(B62/CHOOSE(MATCH(Inputs!$B$3,{"weibull","lognormal","loglogistic"},0),Inputs!$F$8,Inputs!$F$10,Inputs!$F$12))^CHOOSE(MATCH(Inputs!$B$3,{"weibull","lognormal","loglogistic"},0),Inputs!$D$8,Inputs!$D$10,Inputs!$D$12)),IF(Inputs!$B$3="loglogistic",1/(1+(B62/CHOOSE(MATCH(Inputs!$B$3,{"weibull","lognormal","loglogistic"},0),Inputs!$F$8,Inputs!$F$10,Inputs!$F$12))^CHOOSE(MATCH(Inputs!$B$3,{"weibull","lognormal","loglogistic"},0),Inputs!$D$8,Inputs!$D$10,Inputs!$D$12)),1-NORM.S.DIST((LN(B62)-CHOOSE(MATCH(Inputs!$B$3,{"weibull","lognormal","loglogistic"},0),Inputs!$D$8,Inputs!$D$10,Inputs!$D$12))/CHOOSE(MATCH(Inputs!$B$3,{"weibull","lognormal","loglogistic"},0),Inputs!$F$8,Inputs!$F$10,Inputs!$F$12),TRUE))))</f>
        <v/>
      </c>
      <c r="E62">
        <f>(C61+C62)/2/12</f>
        <v/>
      </c>
      <c r="F62">
        <f>(D61+D62)/2/12</f>
        <v/>
      </c>
    </row>
    <row r="63">
      <c r="A63" t="n">
        <v>61</v>
      </c>
      <c r="B63">
        <f>A63/12</f>
        <v/>
      </c>
      <c r="C63">
        <f>IF(B63=0,1,IF(Inputs!$B$3="weibull",EXP(-(B63/CHOOSE(MATCH(Inputs!$B$3,{"weibull","lognormal","loglogistic"},0),Inputs!$F$7,Inputs!$F$9,Inputs!$F$11))^CHOOSE(MATCH(Inputs!$B$3,{"weibull","lognormal","loglogistic"},0),Inputs!$D$7,Inputs!$D$9,Inputs!$D$11)),IF(Inputs!$B$3="loglogistic",1/(1+(B63/CHOOSE(MATCH(Inputs!$B$3,{"weibull","lognormal","loglogistic"},0),Inputs!$F$7,Inputs!$F$9,Inputs!$F$11))^CHOOSE(MATCH(Inputs!$B$3,{"weibull","lognormal","loglogistic"},0),Inputs!$D$7,Inputs!$D$9,Inputs!$D$11)),1-NORM.S.DIST((LN(B63)-CHOOSE(MATCH(Inputs!$B$3,{"weibull","lognormal","loglogistic"},0),Inputs!$D$7,Inputs!$D$9,Inputs!$D$11))/CHOOSE(MATCH(Inputs!$B$3,{"weibull","lognormal","loglogistic"},0),Inputs!$F$7,Inputs!$F$9,Inputs!$F$11),TRUE))))</f>
        <v/>
      </c>
      <c r="D63">
        <f>IF(B63=0,1,IF(Inputs!$B$3="weibull",EXP(-(B63/CHOOSE(MATCH(Inputs!$B$3,{"weibull","lognormal","loglogistic"},0),Inputs!$F$8,Inputs!$F$10,Inputs!$F$12))^CHOOSE(MATCH(Inputs!$B$3,{"weibull","lognormal","loglogistic"},0),Inputs!$D$8,Inputs!$D$10,Inputs!$D$12)),IF(Inputs!$B$3="loglogistic",1/(1+(B63/CHOOSE(MATCH(Inputs!$B$3,{"weibull","lognormal","loglogistic"},0),Inputs!$F$8,Inputs!$F$10,Inputs!$F$12))^CHOOSE(MATCH(Inputs!$B$3,{"weibull","lognormal","loglogistic"},0),Inputs!$D$8,Inputs!$D$10,Inputs!$D$12)),1-NORM.S.DIST((LN(B63)-CHOOSE(MATCH(Inputs!$B$3,{"weibull","lognormal","loglogistic"},0),Inputs!$D$8,Inputs!$D$10,Inputs!$D$12))/CHOOSE(MATCH(Inputs!$B$3,{"weibull","lognormal","loglogistic"},0),Inputs!$F$8,Inputs!$F$10,Inputs!$F$12),TRUE))))</f>
        <v/>
      </c>
      <c r="E63">
        <f>(C62+C63)/2/12</f>
        <v/>
      </c>
      <c r="F63">
        <f>(D62+D63)/2/12</f>
        <v/>
      </c>
    </row>
    <row r="64">
      <c r="A64" t="n">
        <v>62</v>
      </c>
      <c r="B64">
        <f>A64/12</f>
        <v/>
      </c>
      <c r="C64">
        <f>IF(B64=0,1,IF(Inputs!$B$3="weibull",EXP(-(B64/CHOOSE(MATCH(Inputs!$B$3,{"weibull","lognormal","loglogistic"},0),Inputs!$F$7,Inputs!$F$9,Inputs!$F$11))^CHOOSE(MATCH(Inputs!$B$3,{"weibull","lognormal","loglogistic"},0),Inputs!$D$7,Inputs!$D$9,Inputs!$D$11)),IF(Inputs!$B$3="loglogistic",1/(1+(B64/CHOOSE(MATCH(Inputs!$B$3,{"weibull","lognormal","loglogistic"},0),Inputs!$F$7,Inputs!$F$9,Inputs!$F$11))^CHOOSE(MATCH(Inputs!$B$3,{"weibull","lognormal","loglogistic"},0),Inputs!$D$7,Inputs!$D$9,Inputs!$D$11)),1-NORM.S.DIST((LN(B64)-CHOOSE(MATCH(Inputs!$B$3,{"weibull","lognormal","loglogistic"},0),Inputs!$D$7,Inputs!$D$9,Inputs!$D$11))/CHOOSE(MATCH(Inputs!$B$3,{"weibull","lognormal","loglogistic"},0),Inputs!$F$7,Inputs!$F$9,Inputs!$F$11),TRUE))))</f>
        <v/>
      </c>
      <c r="D64">
        <f>IF(B64=0,1,IF(Inputs!$B$3="weibull",EXP(-(B64/CHOOSE(MATCH(Inputs!$B$3,{"weibull","lognormal","loglogistic"},0),Inputs!$F$8,Inputs!$F$10,Inputs!$F$12))^CHOOSE(MATCH(Inputs!$B$3,{"weibull","lognormal","loglogistic"},0),Inputs!$D$8,Inputs!$D$10,Inputs!$D$12)),IF(Inputs!$B$3="loglogistic",1/(1+(B64/CHOOSE(MATCH(Inputs!$B$3,{"weibull","lognormal","loglogistic"},0),Inputs!$F$8,Inputs!$F$10,Inputs!$F$12))^CHOOSE(MATCH(Inputs!$B$3,{"weibull","lognormal","loglogistic"},0),Inputs!$D$8,Inputs!$D$10,Inputs!$D$12)),1-NORM.S.DIST((LN(B64)-CHOOSE(MATCH(Inputs!$B$3,{"weibull","lognormal","loglogistic"},0),Inputs!$D$8,Inputs!$D$10,Inputs!$D$12))/CHOOSE(MATCH(Inputs!$B$3,{"weibull","lognormal","loglogistic"},0),Inputs!$F$8,Inputs!$F$10,Inputs!$F$12),TRUE))))</f>
        <v/>
      </c>
      <c r="E64">
        <f>(C63+C64)/2/12</f>
        <v/>
      </c>
      <c r="F64">
        <f>(D63+D64)/2/12</f>
        <v/>
      </c>
    </row>
    <row r="65">
      <c r="A65" t="n">
        <v>63</v>
      </c>
      <c r="B65">
        <f>A65/12</f>
        <v/>
      </c>
      <c r="C65">
        <f>IF(B65=0,1,IF(Inputs!$B$3="weibull",EXP(-(B65/CHOOSE(MATCH(Inputs!$B$3,{"weibull","lognormal","loglogistic"},0),Inputs!$F$7,Inputs!$F$9,Inputs!$F$11))^CHOOSE(MATCH(Inputs!$B$3,{"weibull","lognormal","loglogistic"},0),Inputs!$D$7,Inputs!$D$9,Inputs!$D$11)),IF(Inputs!$B$3="loglogistic",1/(1+(B65/CHOOSE(MATCH(Inputs!$B$3,{"weibull","lognormal","loglogistic"},0),Inputs!$F$7,Inputs!$F$9,Inputs!$F$11))^CHOOSE(MATCH(Inputs!$B$3,{"weibull","lognormal","loglogistic"},0),Inputs!$D$7,Inputs!$D$9,Inputs!$D$11)),1-NORM.S.DIST((LN(B65)-CHOOSE(MATCH(Inputs!$B$3,{"weibull","lognormal","loglogistic"},0),Inputs!$D$7,Inputs!$D$9,Inputs!$D$11))/CHOOSE(MATCH(Inputs!$B$3,{"weibull","lognormal","loglogistic"},0),Inputs!$F$7,Inputs!$F$9,Inputs!$F$11),TRUE))))</f>
        <v/>
      </c>
      <c r="D65">
        <f>IF(B65=0,1,IF(Inputs!$B$3="weibull",EXP(-(B65/CHOOSE(MATCH(Inputs!$B$3,{"weibull","lognormal","loglogistic"},0),Inputs!$F$8,Inputs!$F$10,Inputs!$F$12))^CHOOSE(MATCH(Inputs!$B$3,{"weibull","lognormal","loglogistic"},0),Inputs!$D$8,Inputs!$D$10,Inputs!$D$12)),IF(Inputs!$B$3="loglogistic",1/(1+(B65/CHOOSE(MATCH(Inputs!$B$3,{"weibull","lognormal","loglogistic"},0),Inputs!$F$8,Inputs!$F$10,Inputs!$F$12))^CHOOSE(MATCH(Inputs!$B$3,{"weibull","lognormal","loglogistic"},0),Inputs!$D$8,Inputs!$D$10,Inputs!$D$12)),1-NORM.S.DIST((LN(B65)-CHOOSE(MATCH(Inputs!$B$3,{"weibull","lognormal","loglogistic"},0),Inputs!$D$8,Inputs!$D$10,Inputs!$D$12))/CHOOSE(MATCH(Inputs!$B$3,{"weibull","lognormal","loglogistic"},0),Inputs!$F$8,Inputs!$F$10,Inputs!$F$12),TRUE))))</f>
        <v/>
      </c>
      <c r="E65">
        <f>(C64+C65)/2/12</f>
        <v/>
      </c>
      <c r="F65">
        <f>(D64+D65)/2/12</f>
        <v/>
      </c>
    </row>
    <row r="66">
      <c r="A66" t="n">
        <v>64</v>
      </c>
      <c r="B66">
        <f>A66/12</f>
        <v/>
      </c>
      <c r="C66">
        <f>IF(B66=0,1,IF(Inputs!$B$3="weibull",EXP(-(B66/CHOOSE(MATCH(Inputs!$B$3,{"weibull","lognormal","loglogistic"},0),Inputs!$F$7,Inputs!$F$9,Inputs!$F$11))^CHOOSE(MATCH(Inputs!$B$3,{"weibull","lognormal","loglogistic"},0),Inputs!$D$7,Inputs!$D$9,Inputs!$D$11)),IF(Inputs!$B$3="loglogistic",1/(1+(B66/CHOOSE(MATCH(Inputs!$B$3,{"weibull","lognormal","loglogistic"},0),Inputs!$F$7,Inputs!$F$9,Inputs!$F$11))^CHOOSE(MATCH(Inputs!$B$3,{"weibull","lognormal","loglogistic"},0),Inputs!$D$7,Inputs!$D$9,Inputs!$D$11)),1-NORM.S.DIST((LN(B66)-CHOOSE(MATCH(Inputs!$B$3,{"weibull","lognormal","loglogistic"},0),Inputs!$D$7,Inputs!$D$9,Inputs!$D$11))/CHOOSE(MATCH(Inputs!$B$3,{"weibull","lognormal","loglogistic"},0),Inputs!$F$7,Inputs!$F$9,Inputs!$F$11),TRUE))))</f>
        <v/>
      </c>
      <c r="D66">
        <f>IF(B66=0,1,IF(Inputs!$B$3="weibull",EXP(-(B66/CHOOSE(MATCH(Inputs!$B$3,{"weibull","lognormal","loglogistic"},0),Inputs!$F$8,Inputs!$F$10,Inputs!$F$12))^CHOOSE(MATCH(Inputs!$B$3,{"weibull","lognormal","loglogistic"},0),Inputs!$D$8,Inputs!$D$10,Inputs!$D$12)),IF(Inputs!$B$3="loglogistic",1/(1+(B66/CHOOSE(MATCH(Inputs!$B$3,{"weibull","lognormal","loglogistic"},0),Inputs!$F$8,Inputs!$F$10,Inputs!$F$12))^CHOOSE(MATCH(Inputs!$B$3,{"weibull","lognormal","loglogistic"},0),Inputs!$D$8,Inputs!$D$10,Inputs!$D$12)),1-NORM.S.DIST((LN(B66)-CHOOSE(MATCH(Inputs!$B$3,{"weibull","lognormal","loglogistic"},0),Inputs!$D$8,Inputs!$D$10,Inputs!$D$12))/CHOOSE(MATCH(Inputs!$B$3,{"weibull","lognormal","loglogistic"},0),Inputs!$F$8,Inputs!$F$10,Inputs!$F$12),TRUE))))</f>
        <v/>
      </c>
      <c r="E66">
        <f>(C65+C66)/2/12</f>
        <v/>
      </c>
      <c r="F66">
        <f>(D65+D66)/2/12</f>
        <v/>
      </c>
    </row>
    <row r="67">
      <c r="A67" t="n">
        <v>65</v>
      </c>
      <c r="B67">
        <f>A67/12</f>
        <v/>
      </c>
      <c r="C67">
        <f>IF(B67=0,1,IF(Inputs!$B$3="weibull",EXP(-(B67/CHOOSE(MATCH(Inputs!$B$3,{"weibull","lognormal","loglogistic"},0),Inputs!$F$7,Inputs!$F$9,Inputs!$F$11))^CHOOSE(MATCH(Inputs!$B$3,{"weibull","lognormal","loglogistic"},0),Inputs!$D$7,Inputs!$D$9,Inputs!$D$11)),IF(Inputs!$B$3="loglogistic",1/(1+(B67/CHOOSE(MATCH(Inputs!$B$3,{"weibull","lognormal","loglogistic"},0),Inputs!$F$7,Inputs!$F$9,Inputs!$F$11))^CHOOSE(MATCH(Inputs!$B$3,{"weibull","lognormal","loglogistic"},0),Inputs!$D$7,Inputs!$D$9,Inputs!$D$11)),1-NORM.S.DIST((LN(B67)-CHOOSE(MATCH(Inputs!$B$3,{"weibull","lognormal","loglogistic"},0),Inputs!$D$7,Inputs!$D$9,Inputs!$D$11))/CHOOSE(MATCH(Inputs!$B$3,{"weibull","lognormal","loglogistic"},0),Inputs!$F$7,Inputs!$F$9,Inputs!$F$11),TRUE))))</f>
        <v/>
      </c>
      <c r="D67">
        <f>IF(B67=0,1,IF(Inputs!$B$3="weibull",EXP(-(B67/CHOOSE(MATCH(Inputs!$B$3,{"weibull","lognormal","loglogistic"},0),Inputs!$F$8,Inputs!$F$10,Inputs!$F$12))^CHOOSE(MATCH(Inputs!$B$3,{"weibull","lognormal","loglogistic"},0),Inputs!$D$8,Inputs!$D$10,Inputs!$D$12)),IF(Inputs!$B$3="loglogistic",1/(1+(B67/CHOOSE(MATCH(Inputs!$B$3,{"weibull","lognormal","loglogistic"},0),Inputs!$F$8,Inputs!$F$10,Inputs!$F$12))^CHOOSE(MATCH(Inputs!$B$3,{"weibull","lognormal","loglogistic"},0),Inputs!$D$8,Inputs!$D$10,Inputs!$D$12)),1-NORM.S.DIST((LN(B67)-CHOOSE(MATCH(Inputs!$B$3,{"weibull","lognormal","loglogistic"},0),Inputs!$D$8,Inputs!$D$10,Inputs!$D$12))/CHOOSE(MATCH(Inputs!$B$3,{"weibull","lognormal","loglogistic"},0),Inputs!$F$8,Inputs!$F$10,Inputs!$F$12),TRUE))))</f>
        <v/>
      </c>
      <c r="E67">
        <f>(C66+C67)/2/12</f>
        <v/>
      </c>
      <c r="F67">
        <f>(D66+D67)/2/12</f>
        <v/>
      </c>
    </row>
    <row r="68">
      <c r="A68" t="n">
        <v>66</v>
      </c>
      <c r="B68">
        <f>A68/12</f>
        <v/>
      </c>
      <c r="C68">
        <f>IF(B68=0,1,IF(Inputs!$B$3="weibull",EXP(-(B68/CHOOSE(MATCH(Inputs!$B$3,{"weibull","lognormal","loglogistic"},0),Inputs!$F$7,Inputs!$F$9,Inputs!$F$11))^CHOOSE(MATCH(Inputs!$B$3,{"weibull","lognormal","loglogistic"},0),Inputs!$D$7,Inputs!$D$9,Inputs!$D$11)),IF(Inputs!$B$3="loglogistic",1/(1+(B68/CHOOSE(MATCH(Inputs!$B$3,{"weibull","lognormal","loglogistic"},0),Inputs!$F$7,Inputs!$F$9,Inputs!$F$11))^CHOOSE(MATCH(Inputs!$B$3,{"weibull","lognormal","loglogistic"},0),Inputs!$D$7,Inputs!$D$9,Inputs!$D$11)),1-NORM.S.DIST((LN(B68)-CHOOSE(MATCH(Inputs!$B$3,{"weibull","lognormal","loglogistic"},0),Inputs!$D$7,Inputs!$D$9,Inputs!$D$11))/CHOOSE(MATCH(Inputs!$B$3,{"weibull","lognormal","loglogistic"},0),Inputs!$F$7,Inputs!$F$9,Inputs!$F$11),TRUE))))</f>
        <v/>
      </c>
      <c r="D68">
        <f>IF(B68=0,1,IF(Inputs!$B$3="weibull",EXP(-(B68/CHOOSE(MATCH(Inputs!$B$3,{"weibull","lognormal","loglogistic"},0),Inputs!$F$8,Inputs!$F$10,Inputs!$F$12))^CHOOSE(MATCH(Inputs!$B$3,{"weibull","lognormal","loglogistic"},0),Inputs!$D$8,Inputs!$D$10,Inputs!$D$12)),IF(Inputs!$B$3="loglogistic",1/(1+(B68/CHOOSE(MATCH(Inputs!$B$3,{"weibull","lognormal","loglogistic"},0),Inputs!$F$8,Inputs!$F$10,Inputs!$F$12))^CHOOSE(MATCH(Inputs!$B$3,{"weibull","lognormal","loglogistic"},0),Inputs!$D$8,Inputs!$D$10,Inputs!$D$12)),1-NORM.S.DIST((LN(B68)-CHOOSE(MATCH(Inputs!$B$3,{"weibull","lognormal","loglogistic"},0),Inputs!$D$8,Inputs!$D$10,Inputs!$D$12))/CHOOSE(MATCH(Inputs!$B$3,{"weibull","lognormal","loglogistic"},0),Inputs!$F$8,Inputs!$F$10,Inputs!$F$12),TRUE))))</f>
        <v/>
      </c>
      <c r="E68">
        <f>(C67+C68)/2/12</f>
        <v/>
      </c>
      <c r="F68">
        <f>(D67+D68)/2/12</f>
        <v/>
      </c>
    </row>
    <row r="69">
      <c r="A69" t="n">
        <v>67</v>
      </c>
      <c r="B69">
        <f>A69/12</f>
        <v/>
      </c>
      <c r="C69">
        <f>IF(B69=0,1,IF(Inputs!$B$3="weibull",EXP(-(B69/CHOOSE(MATCH(Inputs!$B$3,{"weibull","lognormal","loglogistic"},0),Inputs!$F$7,Inputs!$F$9,Inputs!$F$11))^CHOOSE(MATCH(Inputs!$B$3,{"weibull","lognormal","loglogistic"},0),Inputs!$D$7,Inputs!$D$9,Inputs!$D$11)),IF(Inputs!$B$3="loglogistic",1/(1+(B69/CHOOSE(MATCH(Inputs!$B$3,{"weibull","lognormal","loglogistic"},0),Inputs!$F$7,Inputs!$F$9,Inputs!$F$11))^CHOOSE(MATCH(Inputs!$B$3,{"weibull","lognormal","loglogistic"},0),Inputs!$D$7,Inputs!$D$9,Inputs!$D$11)),1-NORM.S.DIST((LN(B69)-CHOOSE(MATCH(Inputs!$B$3,{"weibull","lognormal","loglogistic"},0),Inputs!$D$7,Inputs!$D$9,Inputs!$D$11))/CHOOSE(MATCH(Inputs!$B$3,{"weibull","lognormal","loglogistic"},0),Inputs!$F$7,Inputs!$F$9,Inputs!$F$11),TRUE))))</f>
        <v/>
      </c>
      <c r="D69">
        <f>IF(B69=0,1,IF(Inputs!$B$3="weibull",EXP(-(B69/CHOOSE(MATCH(Inputs!$B$3,{"weibull","lognormal","loglogistic"},0),Inputs!$F$8,Inputs!$F$10,Inputs!$F$12))^CHOOSE(MATCH(Inputs!$B$3,{"weibull","lognormal","loglogistic"},0),Inputs!$D$8,Inputs!$D$10,Inputs!$D$12)),IF(Inputs!$B$3="loglogistic",1/(1+(B69/CHOOSE(MATCH(Inputs!$B$3,{"weibull","lognormal","loglogistic"},0),Inputs!$F$8,Inputs!$F$10,Inputs!$F$12))^CHOOSE(MATCH(Inputs!$B$3,{"weibull","lognormal","loglogistic"},0),Inputs!$D$8,Inputs!$D$10,Inputs!$D$12)),1-NORM.S.DIST((LN(B69)-CHOOSE(MATCH(Inputs!$B$3,{"weibull","lognormal","loglogistic"},0),Inputs!$D$8,Inputs!$D$10,Inputs!$D$12))/CHOOSE(MATCH(Inputs!$B$3,{"weibull","lognormal","loglogistic"},0),Inputs!$F$8,Inputs!$F$10,Inputs!$F$12),TRUE))))</f>
        <v/>
      </c>
      <c r="E69">
        <f>(C68+C69)/2/12</f>
        <v/>
      </c>
      <c r="F69">
        <f>(D68+D69)/2/12</f>
        <v/>
      </c>
    </row>
    <row r="70">
      <c r="A70" t="n">
        <v>68</v>
      </c>
      <c r="B70">
        <f>A70/12</f>
        <v/>
      </c>
      <c r="C70">
        <f>IF(B70=0,1,IF(Inputs!$B$3="weibull",EXP(-(B70/CHOOSE(MATCH(Inputs!$B$3,{"weibull","lognormal","loglogistic"},0),Inputs!$F$7,Inputs!$F$9,Inputs!$F$11))^CHOOSE(MATCH(Inputs!$B$3,{"weibull","lognormal","loglogistic"},0),Inputs!$D$7,Inputs!$D$9,Inputs!$D$11)),IF(Inputs!$B$3="loglogistic",1/(1+(B70/CHOOSE(MATCH(Inputs!$B$3,{"weibull","lognormal","loglogistic"},0),Inputs!$F$7,Inputs!$F$9,Inputs!$F$11))^CHOOSE(MATCH(Inputs!$B$3,{"weibull","lognormal","loglogistic"},0),Inputs!$D$7,Inputs!$D$9,Inputs!$D$11)),1-NORM.S.DIST((LN(B70)-CHOOSE(MATCH(Inputs!$B$3,{"weibull","lognormal","loglogistic"},0),Inputs!$D$7,Inputs!$D$9,Inputs!$D$11))/CHOOSE(MATCH(Inputs!$B$3,{"weibull","lognormal","loglogistic"},0),Inputs!$F$7,Inputs!$F$9,Inputs!$F$11),TRUE))))</f>
        <v/>
      </c>
      <c r="D70">
        <f>IF(B70=0,1,IF(Inputs!$B$3="weibull",EXP(-(B70/CHOOSE(MATCH(Inputs!$B$3,{"weibull","lognormal","loglogistic"},0),Inputs!$F$8,Inputs!$F$10,Inputs!$F$12))^CHOOSE(MATCH(Inputs!$B$3,{"weibull","lognormal","loglogistic"},0),Inputs!$D$8,Inputs!$D$10,Inputs!$D$12)),IF(Inputs!$B$3="loglogistic",1/(1+(B70/CHOOSE(MATCH(Inputs!$B$3,{"weibull","lognormal","loglogistic"},0),Inputs!$F$8,Inputs!$F$10,Inputs!$F$12))^CHOOSE(MATCH(Inputs!$B$3,{"weibull","lognormal","loglogistic"},0),Inputs!$D$8,Inputs!$D$10,Inputs!$D$12)),1-NORM.S.DIST((LN(B70)-CHOOSE(MATCH(Inputs!$B$3,{"weibull","lognormal","loglogistic"},0),Inputs!$D$8,Inputs!$D$10,Inputs!$D$12))/CHOOSE(MATCH(Inputs!$B$3,{"weibull","lognormal","loglogistic"},0),Inputs!$F$8,Inputs!$F$10,Inputs!$F$12),TRUE))))</f>
        <v/>
      </c>
      <c r="E70">
        <f>(C69+C70)/2/12</f>
        <v/>
      </c>
      <c r="F70">
        <f>(D69+D70)/2/12</f>
        <v/>
      </c>
    </row>
    <row r="71">
      <c r="A71" t="n">
        <v>69</v>
      </c>
      <c r="B71">
        <f>A71/12</f>
        <v/>
      </c>
      <c r="C71">
        <f>IF(B71=0,1,IF(Inputs!$B$3="weibull",EXP(-(B71/CHOOSE(MATCH(Inputs!$B$3,{"weibull","lognormal","loglogistic"},0),Inputs!$F$7,Inputs!$F$9,Inputs!$F$11))^CHOOSE(MATCH(Inputs!$B$3,{"weibull","lognormal","loglogistic"},0),Inputs!$D$7,Inputs!$D$9,Inputs!$D$11)),IF(Inputs!$B$3="loglogistic",1/(1+(B71/CHOOSE(MATCH(Inputs!$B$3,{"weibull","lognormal","loglogistic"},0),Inputs!$F$7,Inputs!$F$9,Inputs!$F$11))^CHOOSE(MATCH(Inputs!$B$3,{"weibull","lognormal","loglogistic"},0),Inputs!$D$7,Inputs!$D$9,Inputs!$D$11)),1-NORM.S.DIST((LN(B71)-CHOOSE(MATCH(Inputs!$B$3,{"weibull","lognormal","loglogistic"},0),Inputs!$D$7,Inputs!$D$9,Inputs!$D$11))/CHOOSE(MATCH(Inputs!$B$3,{"weibull","lognormal","loglogistic"},0),Inputs!$F$7,Inputs!$F$9,Inputs!$F$11),TRUE))))</f>
        <v/>
      </c>
      <c r="D71">
        <f>IF(B71=0,1,IF(Inputs!$B$3="weibull",EXP(-(B71/CHOOSE(MATCH(Inputs!$B$3,{"weibull","lognormal","loglogistic"},0),Inputs!$F$8,Inputs!$F$10,Inputs!$F$12))^CHOOSE(MATCH(Inputs!$B$3,{"weibull","lognormal","loglogistic"},0),Inputs!$D$8,Inputs!$D$10,Inputs!$D$12)),IF(Inputs!$B$3="loglogistic",1/(1+(B71/CHOOSE(MATCH(Inputs!$B$3,{"weibull","lognormal","loglogistic"},0),Inputs!$F$8,Inputs!$F$10,Inputs!$F$12))^CHOOSE(MATCH(Inputs!$B$3,{"weibull","lognormal","loglogistic"},0),Inputs!$D$8,Inputs!$D$10,Inputs!$D$12)),1-NORM.S.DIST((LN(B71)-CHOOSE(MATCH(Inputs!$B$3,{"weibull","lognormal","loglogistic"},0),Inputs!$D$8,Inputs!$D$10,Inputs!$D$12))/CHOOSE(MATCH(Inputs!$B$3,{"weibull","lognormal","loglogistic"},0),Inputs!$F$8,Inputs!$F$10,Inputs!$F$12),TRUE))))</f>
        <v/>
      </c>
      <c r="E71">
        <f>(C70+C71)/2/12</f>
        <v/>
      </c>
      <c r="F71">
        <f>(D70+D71)/2/12</f>
        <v/>
      </c>
    </row>
    <row r="72">
      <c r="A72" t="n">
        <v>70</v>
      </c>
      <c r="B72">
        <f>A72/12</f>
        <v/>
      </c>
      <c r="C72">
        <f>IF(B72=0,1,IF(Inputs!$B$3="weibull",EXP(-(B72/CHOOSE(MATCH(Inputs!$B$3,{"weibull","lognormal","loglogistic"},0),Inputs!$F$7,Inputs!$F$9,Inputs!$F$11))^CHOOSE(MATCH(Inputs!$B$3,{"weibull","lognormal","loglogistic"},0),Inputs!$D$7,Inputs!$D$9,Inputs!$D$11)),IF(Inputs!$B$3="loglogistic",1/(1+(B72/CHOOSE(MATCH(Inputs!$B$3,{"weibull","lognormal","loglogistic"},0),Inputs!$F$7,Inputs!$F$9,Inputs!$F$11))^CHOOSE(MATCH(Inputs!$B$3,{"weibull","lognormal","loglogistic"},0),Inputs!$D$7,Inputs!$D$9,Inputs!$D$11)),1-NORM.S.DIST((LN(B72)-CHOOSE(MATCH(Inputs!$B$3,{"weibull","lognormal","loglogistic"},0),Inputs!$D$7,Inputs!$D$9,Inputs!$D$11))/CHOOSE(MATCH(Inputs!$B$3,{"weibull","lognormal","loglogistic"},0),Inputs!$F$7,Inputs!$F$9,Inputs!$F$11),TRUE))))</f>
        <v/>
      </c>
      <c r="D72">
        <f>IF(B72=0,1,IF(Inputs!$B$3="weibull",EXP(-(B72/CHOOSE(MATCH(Inputs!$B$3,{"weibull","lognormal","loglogistic"},0),Inputs!$F$8,Inputs!$F$10,Inputs!$F$12))^CHOOSE(MATCH(Inputs!$B$3,{"weibull","lognormal","loglogistic"},0),Inputs!$D$8,Inputs!$D$10,Inputs!$D$12)),IF(Inputs!$B$3="loglogistic",1/(1+(B72/CHOOSE(MATCH(Inputs!$B$3,{"weibull","lognormal","loglogistic"},0),Inputs!$F$8,Inputs!$F$10,Inputs!$F$12))^CHOOSE(MATCH(Inputs!$B$3,{"weibull","lognormal","loglogistic"},0),Inputs!$D$8,Inputs!$D$10,Inputs!$D$12)),1-NORM.S.DIST((LN(B72)-CHOOSE(MATCH(Inputs!$B$3,{"weibull","lognormal","loglogistic"},0),Inputs!$D$8,Inputs!$D$10,Inputs!$D$12))/CHOOSE(MATCH(Inputs!$B$3,{"weibull","lognormal","loglogistic"},0),Inputs!$F$8,Inputs!$F$10,Inputs!$F$12),TRUE))))</f>
        <v/>
      </c>
      <c r="E72">
        <f>(C71+C72)/2/12</f>
        <v/>
      </c>
      <c r="F72">
        <f>(D71+D72)/2/12</f>
        <v/>
      </c>
    </row>
    <row r="73">
      <c r="A73" t="n">
        <v>71</v>
      </c>
      <c r="B73">
        <f>A73/12</f>
        <v/>
      </c>
      <c r="C73">
        <f>IF(B73=0,1,IF(Inputs!$B$3="weibull",EXP(-(B73/CHOOSE(MATCH(Inputs!$B$3,{"weibull","lognormal","loglogistic"},0),Inputs!$F$7,Inputs!$F$9,Inputs!$F$11))^CHOOSE(MATCH(Inputs!$B$3,{"weibull","lognormal","loglogistic"},0),Inputs!$D$7,Inputs!$D$9,Inputs!$D$11)),IF(Inputs!$B$3="loglogistic",1/(1+(B73/CHOOSE(MATCH(Inputs!$B$3,{"weibull","lognormal","loglogistic"},0),Inputs!$F$7,Inputs!$F$9,Inputs!$F$11))^CHOOSE(MATCH(Inputs!$B$3,{"weibull","lognormal","loglogistic"},0),Inputs!$D$7,Inputs!$D$9,Inputs!$D$11)),1-NORM.S.DIST((LN(B73)-CHOOSE(MATCH(Inputs!$B$3,{"weibull","lognormal","loglogistic"},0),Inputs!$D$7,Inputs!$D$9,Inputs!$D$11))/CHOOSE(MATCH(Inputs!$B$3,{"weibull","lognormal","loglogistic"},0),Inputs!$F$7,Inputs!$F$9,Inputs!$F$11),TRUE))))</f>
        <v/>
      </c>
      <c r="D73">
        <f>IF(B73=0,1,IF(Inputs!$B$3="weibull",EXP(-(B73/CHOOSE(MATCH(Inputs!$B$3,{"weibull","lognormal","loglogistic"},0),Inputs!$F$8,Inputs!$F$10,Inputs!$F$12))^CHOOSE(MATCH(Inputs!$B$3,{"weibull","lognormal","loglogistic"},0),Inputs!$D$8,Inputs!$D$10,Inputs!$D$12)),IF(Inputs!$B$3="loglogistic",1/(1+(B73/CHOOSE(MATCH(Inputs!$B$3,{"weibull","lognormal","loglogistic"},0),Inputs!$F$8,Inputs!$F$10,Inputs!$F$12))^CHOOSE(MATCH(Inputs!$B$3,{"weibull","lognormal","loglogistic"},0),Inputs!$D$8,Inputs!$D$10,Inputs!$D$12)),1-NORM.S.DIST((LN(B73)-CHOOSE(MATCH(Inputs!$B$3,{"weibull","lognormal","loglogistic"},0),Inputs!$D$8,Inputs!$D$10,Inputs!$D$12))/CHOOSE(MATCH(Inputs!$B$3,{"weibull","lognormal","loglogistic"},0),Inputs!$F$8,Inputs!$F$10,Inputs!$F$12),TRUE))))</f>
        <v/>
      </c>
      <c r="E73">
        <f>(C72+C73)/2/12</f>
        <v/>
      </c>
      <c r="F73">
        <f>(D72+D73)/2/12</f>
        <v/>
      </c>
    </row>
    <row r="74">
      <c r="A74" t="n">
        <v>72</v>
      </c>
      <c r="B74">
        <f>A74/12</f>
        <v/>
      </c>
      <c r="C74">
        <f>IF(B74=0,1,IF(Inputs!$B$3="weibull",EXP(-(B74/CHOOSE(MATCH(Inputs!$B$3,{"weibull","lognormal","loglogistic"},0),Inputs!$F$7,Inputs!$F$9,Inputs!$F$11))^CHOOSE(MATCH(Inputs!$B$3,{"weibull","lognormal","loglogistic"},0),Inputs!$D$7,Inputs!$D$9,Inputs!$D$11)),IF(Inputs!$B$3="loglogistic",1/(1+(B74/CHOOSE(MATCH(Inputs!$B$3,{"weibull","lognormal","loglogistic"},0),Inputs!$F$7,Inputs!$F$9,Inputs!$F$11))^CHOOSE(MATCH(Inputs!$B$3,{"weibull","lognormal","loglogistic"},0),Inputs!$D$7,Inputs!$D$9,Inputs!$D$11)),1-NORM.S.DIST((LN(B74)-CHOOSE(MATCH(Inputs!$B$3,{"weibull","lognormal","loglogistic"},0),Inputs!$D$7,Inputs!$D$9,Inputs!$D$11))/CHOOSE(MATCH(Inputs!$B$3,{"weibull","lognormal","loglogistic"},0),Inputs!$F$7,Inputs!$F$9,Inputs!$F$11),TRUE))))</f>
        <v/>
      </c>
      <c r="D74">
        <f>IF(B74=0,1,IF(Inputs!$B$3="weibull",EXP(-(B74/CHOOSE(MATCH(Inputs!$B$3,{"weibull","lognormal","loglogistic"},0),Inputs!$F$8,Inputs!$F$10,Inputs!$F$12))^CHOOSE(MATCH(Inputs!$B$3,{"weibull","lognormal","loglogistic"},0),Inputs!$D$8,Inputs!$D$10,Inputs!$D$12)),IF(Inputs!$B$3="loglogistic",1/(1+(B74/CHOOSE(MATCH(Inputs!$B$3,{"weibull","lognormal","loglogistic"},0),Inputs!$F$8,Inputs!$F$10,Inputs!$F$12))^CHOOSE(MATCH(Inputs!$B$3,{"weibull","lognormal","loglogistic"},0),Inputs!$D$8,Inputs!$D$10,Inputs!$D$12)),1-NORM.S.DIST((LN(B74)-CHOOSE(MATCH(Inputs!$B$3,{"weibull","lognormal","loglogistic"},0),Inputs!$D$8,Inputs!$D$10,Inputs!$D$12))/CHOOSE(MATCH(Inputs!$B$3,{"weibull","lognormal","loglogistic"},0),Inputs!$F$8,Inputs!$F$10,Inputs!$F$12),TRUE))))</f>
        <v/>
      </c>
      <c r="E74">
        <f>(C73+C74)/2/12</f>
        <v/>
      </c>
      <c r="F74">
        <f>(D73+D74)/2/12</f>
        <v/>
      </c>
    </row>
    <row r="75">
      <c r="A75" t="n">
        <v>73</v>
      </c>
      <c r="B75">
        <f>A75/12</f>
        <v/>
      </c>
      <c r="C75">
        <f>IF(B75=0,1,IF(Inputs!$B$3="weibull",EXP(-(B75/CHOOSE(MATCH(Inputs!$B$3,{"weibull","lognormal","loglogistic"},0),Inputs!$F$7,Inputs!$F$9,Inputs!$F$11))^CHOOSE(MATCH(Inputs!$B$3,{"weibull","lognormal","loglogistic"},0),Inputs!$D$7,Inputs!$D$9,Inputs!$D$11)),IF(Inputs!$B$3="loglogistic",1/(1+(B75/CHOOSE(MATCH(Inputs!$B$3,{"weibull","lognormal","loglogistic"},0),Inputs!$F$7,Inputs!$F$9,Inputs!$F$11))^CHOOSE(MATCH(Inputs!$B$3,{"weibull","lognormal","loglogistic"},0),Inputs!$D$7,Inputs!$D$9,Inputs!$D$11)),1-NORM.S.DIST((LN(B75)-CHOOSE(MATCH(Inputs!$B$3,{"weibull","lognormal","loglogistic"},0),Inputs!$D$7,Inputs!$D$9,Inputs!$D$11))/CHOOSE(MATCH(Inputs!$B$3,{"weibull","lognormal","loglogistic"},0),Inputs!$F$7,Inputs!$F$9,Inputs!$F$11),TRUE))))</f>
        <v/>
      </c>
      <c r="D75">
        <f>IF(B75=0,1,IF(Inputs!$B$3="weibull",EXP(-(B75/CHOOSE(MATCH(Inputs!$B$3,{"weibull","lognormal","loglogistic"},0),Inputs!$F$8,Inputs!$F$10,Inputs!$F$12))^CHOOSE(MATCH(Inputs!$B$3,{"weibull","lognormal","loglogistic"},0),Inputs!$D$8,Inputs!$D$10,Inputs!$D$12)),IF(Inputs!$B$3="loglogistic",1/(1+(B75/CHOOSE(MATCH(Inputs!$B$3,{"weibull","lognormal","loglogistic"},0),Inputs!$F$8,Inputs!$F$10,Inputs!$F$12))^CHOOSE(MATCH(Inputs!$B$3,{"weibull","lognormal","loglogistic"},0),Inputs!$D$8,Inputs!$D$10,Inputs!$D$12)),1-NORM.S.DIST((LN(B75)-CHOOSE(MATCH(Inputs!$B$3,{"weibull","lognormal","loglogistic"},0),Inputs!$D$8,Inputs!$D$10,Inputs!$D$12))/CHOOSE(MATCH(Inputs!$B$3,{"weibull","lognormal","loglogistic"},0),Inputs!$F$8,Inputs!$F$10,Inputs!$F$12),TRUE))))</f>
        <v/>
      </c>
      <c r="E75">
        <f>(C74+C75)/2/12</f>
        <v/>
      </c>
      <c r="F75">
        <f>(D74+D75)/2/12</f>
        <v/>
      </c>
    </row>
    <row r="76">
      <c r="A76" t="n">
        <v>74</v>
      </c>
      <c r="B76">
        <f>A76/12</f>
        <v/>
      </c>
      <c r="C76">
        <f>IF(B76=0,1,IF(Inputs!$B$3="weibull",EXP(-(B76/CHOOSE(MATCH(Inputs!$B$3,{"weibull","lognormal","loglogistic"},0),Inputs!$F$7,Inputs!$F$9,Inputs!$F$11))^CHOOSE(MATCH(Inputs!$B$3,{"weibull","lognormal","loglogistic"},0),Inputs!$D$7,Inputs!$D$9,Inputs!$D$11)),IF(Inputs!$B$3="loglogistic",1/(1+(B76/CHOOSE(MATCH(Inputs!$B$3,{"weibull","lognormal","loglogistic"},0),Inputs!$F$7,Inputs!$F$9,Inputs!$F$11))^CHOOSE(MATCH(Inputs!$B$3,{"weibull","lognormal","loglogistic"},0),Inputs!$D$7,Inputs!$D$9,Inputs!$D$11)),1-NORM.S.DIST((LN(B76)-CHOOSE(MATCH(Inputs!$B$3,{"weibull","lognormal","loglogistic"},0),Inputs!$D$7,Inputs!$D$9,Inputs!$D$11))/CHOOSE(MATCH(Inputs!$B$3,{"weibull","lognormal","loglogistic"},0),Inputs!$F$7,Inputs!$F$9,Inputs!$F$11),TRUE))))</f>
        <v/>
      </c>
      <c r="D76">
        <f>IF(B76=0,1,IF(Inputs!$B$3="weibull",EXP(-(B76/CHOOSE(MATCH(Inputs!$B$3,{"weibull","lognormal","loglogistic"},0),Inputs!$F$8,Inputs!$F$10,Inputs!$F$12))^CHOOSE(MATCH(Inputs!$B$3,{"weibull","lognormal","loglogistic"},0),Inputs!$D$8,Inputs!$D$10,Inputs!$D$12)),IF(Inputs!$B$3="loglogistic",1/(1+(B76/CHOOSE(MATCH(Inputs!$B$3,{"weibull","lognormal","loglogistic"},0),Inputs!$F$8,Inputs!$F$10,Inputs!$F$12))^CHOOSE(MATCH(Inputs!$B$3,{"weibull","lognormal","loglogistic"},0),Inputs!$D$8,Inputs!$D$10,Inputs!$D$12)),1-NORM.S.DIST((LN(B76)-CHOOSE(MATCH(Inputs!$B$3,{"weibull","lognormal","loglogistic"},0),Inputs!$D$8,Inputs!$D$10,Inputs!$D$12))/CHOOSE(MATCH(Inputs!$B$3,{"weibull","lognormal","loglogistic"},0),Inputs!$F$8,Inputs!$F$10,Inputs!$F$12),TRUE))))</f>
        <v/>
      </c>
      <c r="E76">
        <f>(C75+C76)/2/12</f>
        <v/>
      </c>
      <c r="F76">
        <f>(D75+D76)/2/12</f>
        <v/>
      </c>
    </row>
    <row r="77">
      <c r="A77" t="n">
        <v>75</v>
      </c>
      <c r="B77">
        <f>A77/12</f>
        <v/>
      </c>
      <c r="C77">
        <f>IF(B77=0,1,IF(Inputs!$B$3="weibull",EXP(-(B77/CHOOSE(MATCH(Inputs!$B$3,{"weibull","lognormal","loglogistic"},0),Inputs!$F$7,Inputs!$F$9,Inputs!$F$11))^CHOOSE(MATCH(Inputs!$B$3,{"weibull","lognormal","loglogistic"},0),Inputs!$D$7,Inputs!$D$9,Inputs!$D$11)),IF(Inputs!$B$3="loglogistic",1/(1+(B77/CHOOSE(MATCH(Inputs!$B$3,{"weibull","lognormal","loglogistic"},0),Inputs!$F$7,Inputs!$F$9,Inputs!$F$11))^CHOOSE(MATCH(Inputs!$B$3,{"weibull","lognormal","loglogistic"},0),Inputs!$D$7,Inputs!$D$9,Inputs!$D$11)),1-NORM.S.DIST((LN(B77)-CHOOSE(MATCH(Inputs!$B$3,{"weibull","lognormal","loglogistic"},0),Inputs!$D$7,Inputs!$D$9,Inputs!$D$11))/CHOOSE(MATCH(Inputs!$B$3,{"weibull","lognormal","loglogistic"},0),Inputs!$F$7,Inputs!$F$9,Inputs!$F$11),TRUE))))</f>
        <v/>
      </c>
      <c r="D77">
        <f>IF(B77=0,1,IF(Inputs!$B$3="weibull",EXP(-(B77/CHOOSE(MATCH(Inputs!$B$3,{"weibull","lognormal","loglogistic"},0),Inputs!$F$8,Inputs!$F$10,Inputs!$F$12))^CHOOSE(MATCH(Inputs!$B$3,{"weibull","lognormal","loglogistic"},0),Inputs!$D$8,Inputs!$D$10,Inputs!$D$12)),IF(Inputs!$B$3="loglogistic",1/(1+(B77/CHOOSE(MATCH(Inputs!$B$3,{"weibull","lognormal","loglogistic"},0),Inputs!$F$8,Inputs!$F$10,Inputs!$F$12))^CHOOSE(MATCH(Inputs!$B$3,{"weibull","lognormal","loglogistic"},0),Inputs!$D$8,Inputs!$D$10,Inputs!$D$12)),1-NORM.S.DIST((LN(B77)-CHOOSE(MATCH(Inputs!$B$3,{"weibull","lognormal","loglogistic"},0),Inputs!$D$8,Inputs!$D$10,Inputs!$D$12))/CHOOSE(MATCH(Inputs!$B$3,{"weibull","lognormal","loglogistic"},0),Inputs!$F$8,Inputs!$F$10,Inputs!$F$12),TRUE))))</f>
        <v/>
      </c>
      <c r="E77">
        <f>(C76+C77)/2/12</f>
        <v/>
      </c>
      <c r="F77">
        <f>(D76+D77)/2/12</f>
        <v/>
      </c>
    </row>
    <row r="78">
      <c r="A78" t="n">
        <v>76</v>
      </c>
      <c r="B78">
        <f>A78/12</f>
        <v/>
      </c>
      <c r="C78">
        <f>IF(B78=0,1,IF(Inputs!$B$3="weibull",EXP(-(B78/CHOOSE(MATCH(Inputs!$B$3,{"weibull","lognormal","loglogistic"},0),Inputs!$F$7,Inputs!$F$9,Inputs!$F$11))^CHOOSE(MATCH(Inputs!$B$3,{"weibull","lognormal","loglogistic"},0),Inputs!$D$7,Inputs!$D$9,Inputs!$D$11)),IF(Inputs!$B$3="loglogistic",1/(1+(B78/CHOOSE(MATCH(Inputs!$B$3,{"weibull","lognormal","loglogistic"},0),Inputs!$F$7,Inputs!$F$9,Inputs!$F$11))^CHOOSE(MATCH(Inputs!$B$3,{"weibull","lognormal","loglogistic"},0),Inputs!$D$7,Inputs!$D$9,Inputs!$D$11)),1-NORM.S.DIST((LN(B78)-CHOOSE(MATCH(Inputs!$B$3,{"weibull","lognormal","loglogistic"},0),Inputs!$D$7,Inputs!$D$9,Inputs!$D$11))/CHOOSE(MATCH(Inputs!$B$3,{"weibull","lognormal","loglogistic"},0),Inputs!$F$7,Inputs!$F$9,Inputs!$F$11),TRUE))))</f>
        <v/>
      </c>
      <c r="D78">
        <f>IF(B78=0,1,IF(Inputs!$B$3="weibull",EXP(-(B78/CHOOSE(MATCH(Inputs!$B$3,{"weibull","lognormal","loglogistic"},0),Inputs!$F$8,Inputs!$F$10,Inputs!$F$12))^CHOOSE(MATCH(Inputs!$B$3,{"weibull","lognormal","loglogistic"},0),Inputs!$D$8,Inputs!$D$10,Inputs!$D$12)),IF(Inputs!$B$3="loglogistic",1/(1+(B78/CHOOSE(MATCH(Inputs!$B$3,{"weibull","lognormal","loglogistic"},0),Inputs!$F$8,Inputs!$F$10,Inputs!$F$12))^CHOOSE(MATCH(Inputs!$B$3,{"weibull","lognormal","loglogistic"},0),Inputs!$D$8,Inputs!$D$10,Inputs!$D$12)),1-NORM.S.DIST((LN(B78)-CHOOSE(MATCH(Inputs!$B$3,{"weibull","lognormal","loglogistic"},0),Inputs!$D$8,Inputs!$D$10,Inputs!$D$12))/CHOOSE(MATCH(Inputs!$B$3,{"weibull","lognormal","loglogistic"},0),Inputs!$F$8,Inputs!$F$10,Inputs!$F$12),TRUE))))</f>
        <v/>
      </c>
      <c r="E78">
        <f>(C77+C78)/2/12</f>
        <v/>
      </c>
      <c r="F78">
        <f>(D77+D78)/2/12</f>
        <v/>
      </c>
    </row>
    <row r="79">
      <c r="A79" t="n">
        <v>77</v>
      </c>
      <c r="B79">
        <f>A79/12</f>
        <v/>
      </c>
      <c r="C79">
        <f>IF(B79=0,1,IF(Inputs!$B$3="weibull",EXP(-(B79/CHOOSE(MATCH(Inputs!$B$3,{"weibull","lognormal","loglogistic"},0),Inputs!$F$7,Inputs!$F$9,Inputs!$F$11))^CHOOSE(MATCH(Inputs!$B$3,{"weibull","lognormal","loglogistic"},0),Inputs!$D$7,Inputs!$D$9,Inputs!$D$11)),IF(Inputs!$B$3="loglogistic",1/(1+(B79/CHOOSE(MATCH(Inputs!$B$3,{"weibull","lognormal","loglogistic"},0),Inputs!$F$7,Inputs!$F$9,Inputs!$F$11))^CHOOSE(MATCH(Inputs!$B$3,{"weibull","lognormal","loglogistic"},0),Inputs!$D$7,Inputs!$D$9,Inputs!$D$11)),1-NORM.S.DIST((LN(B79)-CHOOSE(MATCH(Inputs!$B$3,{"weibull","lognormal","loglogistic"},0),Inputs!$D$7,Inputs!$D$9,Inputs!$D$11))/CHOOSE(MATCH(Inputs!$B$3,{"weibull","lognormal","loglogistic"},0),Inputs!$F$7,Inputs!$F$9,Inputs!$F$11),TRUE))))</f>
        <v/>
      </c>
      <c r="D79">
        <f>IF(B79=0,1,IF(Inputs!$B$3="weibull",EXP(-(B79/CHOOSE(MATCH(Inputs!$B$3,{"weibull","lognormal","loglogistic"},0),Inputs!$F$8,Inputs!$F$10,Inputs!$F$12))^CHOOSE(MATCH(Inputs!$B$3,{"weibull","lognormal","loglogistic"},0),Inputs!$D$8,Inputs!$D$10,Inputs!$D$12)),IF(Inputs!$B$3="loglogistic",1/(1+(B79/CHOOSE(MATCH(Inputs!$B$3,{"weibull","lognormal","loglogistic"},0),Inputs!$F$8,Inputs!$F$10,Inputs!$F$12))^CHOOSE(MATCH(Inputs!$B$3,{"weibull","lognormal","loglogistic"},0),Inputs!$D$8,Inputs!$D$10,Inputs!$D$12)),1-NORM.S.DIST((LN(B79)-CHOOSE(MATCH(Inputs!$B$3,{"weibull","lognormal","loglogistic"},0),Inputs!$D$8,Inputs!$D$10,Inputs!$D$12))/CHOOSE(MATCH(Inputs!$B$3,{"weibull","lognormal","loglogistic"},0),Inputs!$F$8,Inputs!$F$10,Inputs!$F$12),TRUE))))</f>
        <v/>
      </c>
      <c r="E79">
        <f>(C78+C79)/2/12</f>
        <v/>
      </c>
      <c r="F79">
        <f>(D78+D79)/2/12</f>
        <v/>
      </c>
    </row>
    <row r="80">
      <c r="A80" t="n">
        <v>78</v>
      </c>
      <c r="B80">
        <f>A80/12</f>
        <v/>
      </c>
      <c r="C80">
        <f>IF(B80=0,1,IF(Inputs!$B$3="weibull",EXP(-(B80/CHOOSE(MATCH(Inputs!$B$3,{"weibull","lognormal","loglogistic"},0),Inputs!$F$7,Inputs!$F$9,Inputs!$F$11))^CHOOSE(MATCH(Inputs!$B$3,{"weibull","lognormal","loglogistic"},0),Inputs!$D$7,Inputs!$D$9,Inputs!$D$11)),IF(Inputs!$B$3="loglogistic",1/(1+(B80/CHOOSE(MATCH(Inputs!$B$3,{"weibull","lognormal","loglogistic"},0),Inputs!$F$7,Inputs!$F$9,Inputs!$F$11))^CHOOSE(MATCH(Inputs!$B$3,{"weibull","lognormal","loglogistic"},0),Inputs!$D$7,Inputs!$D$9,Inputs!$D$11)),1-NORM.S.DIST((LN(B80)-CHOOSE(MATCH(Inputs!$B$3,{"weibull","lognormal","loglogistic"},0),Inputs!$D$7,Inputs!$D$9,Inputs!$D$11))/CHOOSE(MATCH(Inputs!$B$3,{"weibull","lognormal","loglogistic"},0),Inputs!$F$7,Inputs!$F$9,Inputs!$F$11),TRUE))))</f>
        <v/>
      </c>
      <c r="D80">
        <f>IF(B80=0,1,IF(Inputs!$B$3="weibull",EXP(-(B80/CHOOSE(MATCH(Inputs!$B$3,{"weibull","lognormal","loglogistic"},0),Inputs!$F$8,Inputs!$F$10,Inputs!$F$12))^CHOOSE(MATCH(Inputs!$B$3,{"weibull","lognormal","loglogistic"},0),Inputs!$D$8,Inputs!$D$10,Inputs!$D$12)),IF(Inputs!$B$3="loglogistic",1/(1+(B80/CHOOSE(MATCH(Inputs!$B$3,{"weibull","lognormal","loglogistic"},0),Inputs!$F$8,Inputs!$F$10,Inputs!$F$12))^CHOOSE(MATCH(Inputs!$B$3,{"weibull","lognormal","loglogistic"},0),Inputs!$D$8,Inputs!$D$10,Inputs!$D$12)),1-NORM.S.DIST((LN(B80)-CHOOSE(MATCH(Inputs!$B$3,{"weibull","lognormal","loglogistic"},0),Inputs!$D$8,Inputs!$D$10,Inputs!$D$12))/CHOOSE(MATCH(Inputs!$B$3,{"weibull","lognormal","loglogistic"},0),Inputs!$F$8,Inputs!$F$10,Inputs!$F$12),TRUE))))</f>
        <v/>
      </c>
      <c r="E80">
        <f>(C79+C80)/2/12</f>
        <v/>
      </c>
      <c r="F80">
        <f>(D79+D80)/2/12</f>
        <v/>
      </c>
    </row>
    <row r="81">
      <c r="A81" t="n">
        <v>79</v>
      </c>
      <c r="B81">
        <f>A81/12</f>
        <v/>
      </c>
      <c r="C81">
        <f>IF(B81=0,1,IF(Inputs!$B$3="weibull",EXP(-(B81/CHOOSE(MATCH(Inputs!$B$3,{"weibull","lognormal","loglogistic"},0),Inputs!$F$7,Inputs!$F$9,Inputs!$F$11))^CHOOSE(MATCH(Inputs!$B$3,{"weibull","lognormal","loglogistic"},0),Inputs!$D$7,Inputs!$D$9,Inputs!$D$11)),IF(Inputs!$B$3="loglogistic",1/(1+(B81/CHOOSE(MATCH(Inputs!$B$3,{"weibull","lognormal","loglogistic"},0),Inputs!$F$7,Inputs!$F$9,Inputs!$F$11))^CHOOSE(MATCH(Inputs!$B$3,{"weibull","lognormal","loglogistic"},0),Inputs!$D$7,Inputs!$D$9,Inputs!$D$11)),1-NORM.S.DIST((LN(B81)-CHOOSE(MATCH(Inputs!$B$3,{"weibull","lognormal","loglogistic"},0),Inputs!$D$7,Inputs!$D$9,Inputs!$D$11))/CHOOSE(MATCH(Inputs!$B$3,{"weibull","lognormal","loglogistic"},0),Inputs!$F$7,Inputs!$F$9,Inputs!$F$11),TRUE))))</f>
        <v/>
      </c>
      <c r="D81">
        <f>IF(B81=0,1,IF(Inputs!$B$3="weibull",EXP(-(B81/CHOOSE(MATCH(Inputs!$B$3,{"weibull","lognormal","loglogistic"},0),Inputs!$F$8,Inputs!$F$10,Inputs!$F$12))^CHOOSE(MATCH(Inputs!$B$3,{"weibull","lognormal","loglogistic"},0),Inputs!$D$8,Inputs!$D$10,Inputs!$D$12)),IF(Inputs!$B$3="loglogistic",1/(1+(B81/CHOOSE(MATCH(Inputs!$B$3,{"weibull","lognormal","loglogistic"},0),Inputs!$F$8,Inputs!$F$10,Inputs!$F$12))^CHOOSE(MATCH(Inputs!$B$3,{"weibull","lognormal","loglogistic"},0),Inputs!$D$8,Inputs!$D$10,Inputs!$D$12)),1-NORM.S.DIST((LN(B81)-CHOOSE(MATCH(Inputs!$B$3,{"weibull","lognormal","loglogistic"},0),Inputs!$D$8,Inputs!$D$10,Inputs!$D$12))/CHOOSE(MATCH(Inputs!$B$3,{"weibull","lognormal","loglogistic"},0),Inputs!$F$8,Inputs!$F$10,Inputs!$F$12),TRUE))))</f>
        <v/>
      </c>
      <c r="E81">
        <f>(C80+C81)/2/12</f>
        <v/>
      </c>
      <c r="F81">
        <f>(D80+D81)/2/12</f>
        <v/>
      </c>
    </row>
    <row r="82">
      <c r="A82" t="n">
        <v>80</v>
      </c>
      <c r="B82">
        <f>A82/12</f>
        <v/>
      </c>
      <c r="C82">
        <f>IF(B82=0,1,IF(Inputs!$B$3="weibull",EXP(-(B82/CHOOSE(MATCH(Inputs!$B$3,{"weibull","lognormal","loglogistic"},0),Inputs!$F$7,Inputs!$F$9,Inputs!$F$11))^CHOOSE(MATCH(Inputs!$B$3,{"weibull","lognormal","loglogistic"},0),Inputs!$D$7,Inputs!$D$9,Inputs!$D$11)),IF(Inputs!$B$3="loglogistic",1/(1+(B82/CHOOSE(MATCH(Inputs!$B$3,{"weibull","lognormal","loglogistic"},0),Inputs!$F$7,Inputs!$F$9,Inputs!$F$11))^CHOOSE(MATCH(Inputs!$B$3,{"weibull","lognormal","loglogistic"},0),Inputs!$D$7,Inputs!$D$9,Inputs!$D$11)),1-NORM.S.DIST((LN(B82)-CHOOSE(MATCH(Inputs!$B$3,{"weibull","lognormal","loglogistic"},0),Inputs!$D$7,Inputs!$D$9,Inputs!$D$11))/CHOOSE(MATCH(Inputs!$B$3,{"weibull","lognormal","loglogistic"},0),Inputs!$F$7,Inputs!$F$9,Inputs!$F$11),TRUE))))</f>
        <v/>
      </c>
      <c r="D82">
        <f>IF(B82=0,1,IF(Inputs!$B$3="weibull",EXP(-(B82/CHOOSE(MATCH(Inputs!$B$3,{"weibull","lognormal","loglogistic"},0),Inputs!$F$8,Inputs!$F$10,Inputs!$F$12))^CHOOSE(MATCH(Inputs!$B$3,{"weibull","lognormal","loglogistic"},0),Inputs!$D$8,Inputs!$D$10,Inputs!$D$12)),IF(Inputs!$B$3="loglogistic",1/(1+(B82/CHOOSE(MATCH(Inputs!$B$3,{"weibull","lognormal","loglogistic"},0),Inputs!$F$8,Inputs!$F$10,Inputs!$F$12))^CHOOSE(MATCH(Inputs!$B$3,{"weibull","lognormal","loglogistic"},0),Inputs!$D$8,Inputs!$D$10,Inputs!$D$12)),1-NORM.S.DIST((LN(B82)-CHOOSE(MATCH(Inputs!$B$3,{"weibull","lognormal","loglogistic"},0),Inputs!$D$8,Inputs!$D$10,Inputs!$D$12))/CHOOSE(MATCH(Inputs!$B$3,{"weibull","lognormal","loglogistic"},0),Inputs!$F$8,Inputs!$F$10,Inputs!$F$12),TRUE))))</f>
        <v/>
      </c>
      <c r="E82">
        <f>(C81+C82)/2/12</f>
        <v/>
      </c>
      <c r="F82">
        <f>(D81+D82)/2/12</f>
        <v/>
      </c>
    </row>
    <row r="83">
      <c r="A83" t="n">
        <v>81</v>
      </c>
      <c r="B83">
        <f>A83/12</f>
        <v/>
      </c>
      <c r="C83">
        <f>IF(B83=0,1,IF(Inputs!$B$3="weibull",EXP(-(B83/CHOOSE(MATCH(Inputs!$B$3,{"weibull","lognormal","loglogistic"},0),Inputs!$F$7,Inputs!$F$9,Inputs!$F$11))^CHOOSE(MATCH(Inputs!$B$3,{"weibull","lognormal","loglogistic"},0),Inputs!$D$7,Inputs!$D$9,Inputs!$D$11)),IF(Inputs!$B$3="loglogistic",1/(1+(B83/CHOOSE(MATCH(Inputs!$B$3,{"weibull","lognormal","loglogistic"},0),Inputs!$F$7,Inputs!$F$9,Inputs!$F$11))^CHOOSE(MATCH(Inputs!$B$3,{"weibull","lognormal","loglogistic"},0),Inputs!$D$7,Inputs!$D$9,Inputs!$D$11)),1-NORM.S.DIST((LN(B83)-CHOOSE(MATCH(Inputs!$B$3,{"weibull","lognormal","loglogistic"},0),Inputs!$D$7,Inputs!$D$9,Inputs!$D$11))/CHOOSE(MATCH(Inputs!$B$3,{"weibull","lognormal","loglogistic"},0),Inputs!$F$7,Inputs!$F$9,Inputs!$F$11),TRUE))))</f>
        <v/>
      </c>
      <c r="D83">
        <f>IF(B83=0,1,IF(Inputs!$B$3="weibull",EXP(-(B83/CHOOSE(MATCH(Inputs!$B$3,{"weibull","lognormal","loglogistic"},0),Inputs!$F$8,Inputs!$F$10,Inputs!$F$12))^CHOOSE(MATCH(Inputs!$B$3,{"weibull","lognormal","loglogistic"},0),Inputs!$D$8,Inputs!$D$10,Inputs!$D$12)),IF(Inputs!$B$3="loglogistic",1/(1+(B83/CHOOSE(MATCH(Inputs!$B$3,{"weibull","lognormal","loglogistic"},0),Inputs!$F$8,Inputs!$F$10,Inputs!$F$12))^CHOOSE(MATCH(Inputs!$B$3,{"weibull","lognormal","loglogistic"},0),Inputs!$D$8,Inputs!$D$10,Inputs!$D$12)),1-NORM.S.DIST((LN(B83)-CHOOSE(MATCH(Inputs!$B$3,{"weibull","lognormal","loglogistic"},0),Inputs!$D$8,Inputs!$D$10,Inputs!$D$12))/CHOOSE(MATCH(Inputs!$B$3,{"weibull","lognormal","loglogistic"},0),Inputs!$F$8,Inputs!$F$10,Inputs!$F$12),TRUE))))</f>
        <v/>
      </c>
      <c r="E83">
        <f>(C82+C83)/2/12</f>
        <v/>
      </c>
      <c r="F83">
        <f>(D82+D83)/2/12</f>
        <v/>
      </c>
    </row>
    <row r="84">
      <c r="A84" t="n">
        <v>82</v>
      </c>
      <c r="B84">
        <f>A84/12</f>
        <v/>
      </c>
      <c r="C84">
        <f>IF(B84=0,1,IF(Inputs!$B$3="weibull",EXP(-(B84/CHOOSE(MATCH(Inputs!$B$3,{"weibull","lognormal","loglogistic"},0),Inputs!$F$7,Inputs!$F$9,Inputs!$F$11))^CHOOSE(MATCH(Inputs!$B$3,{"weibull","lognormal","loglogistic"},0),Inputs!$D$7,Inputs!$D$9,Inputs!$D$11)),IF(Inputs!$B$3="loglogistic",1/(1+(B84/CHOOSE(MATCH(Inputs!$B$3,{"weibull","lognormal","loglogistic"},0),Inputs!$F$7,Inputs!$F$9,Inputs!$F$11))^CHOOSE(MATCH(Inputs!$B$3,{"weibull","lognormal","loglogistic"},0),Inputs!$D$7,Inputs!$D$9,Inputs!$D$11)),1-NORM.S.DIST((LN(B84)-CHOOSE(MATCH(Inputs!$B$3,{"weibull","lognormal","loglogistic"},0),Inputs!$D$7,Inputs!$D$9,Inputs!$D$11))/CHOOSE(MATCH(Inputs!$B$3,{"weibull","lognormal","loglogistic"},0),Inputs!$F$7,Inputs!$F$9,Inputs!$F$11),TRUE))))</f>
        <v/>
      </c>
      <c r="D84">
        <f>IF(B84=0,1,IF(Inputs!$B$3="weibull",EXP(-(B84/CHOOSE(MATCH(Inputs!$B$3,{"weibull","lognormal","loglogistic"},0),Inputs!$F$8,Inputs!$F$10,Inputs!$F$12))^CHOOSE(MATCH(Inputs!$B$3,{"weibull","lognormal","loglogistic"},0),Inputs!$D$8,Inputs!$D$10,Inputs!$D$12)),IF(Inputs!$B$3="loglogistic",1/(1+(B84/CHOOSE(MATCH(Inputs!$B$3,{"weibull","lognormal","loglogistic"},0),Inputs!$F$8,Inputs!$F$10,Inputs!$F$12))^CHOOSE(MATCH(Inputs!$B$3,{"weibull","lognormal","loglogistic"},0),Inputs!$D$8,Inputs!$D$10,Inputs!$D$12)),1-NORM.S.DIST((LN(B84)-CHOOSE(MATCH(Inputs!$B$3,{"weibull","lognormal","loglogistic"},0),Inputs!$D$8,Inputs!$D$10,Inputs!$D$12))/CHOOSE(MATCH(Inputs!$B$3,{"weibull","lognormal","loglogistic"},0),Inputs!$F$8,Inputs!$F$10,Inputs!$F$12),TRUE))))</f>
        <v/>
      </c>
      <c r="E84">
        <f>(C83+C84)/2/12</f>
        <v/>
      </c>
      <c r="F84">
        <f>(D83+D84)/2/12</f>
        <v/>
      </c>
    </row>
    <row r="85">
      <c r="A85" t="n">
        <v>83</v>
      </c>
      <c r="B85">
        <f>A85/12</f>
        <v/>
      </c>
      <c r="C85">
        <f>IF(B85=0,1,IF(Inputs!$B$3="weibull",EXP(-(B85/CHOOSE(MATCH(Inputs!$B$3,{"weibull","lognormal","loglogistic"},0),Inputs!$F$7,Inputs!$F$9,Inputs!$F$11))^CHOOSE(MATCH(Inputs!$B$3,{"weibull","lognormal","loglogistic"},0),Inputs!$D$7,Inputs!$D$9,Inputs!$D$11)),IF(Inputs!$B$3="loglogistic",1/(1+(B85/CHOOSE(MATCH(Inputs!$B$3,{"weibull","lognormal","loglogistic"},0),Inputs!$F$7,Inputs!$F$9,Inputs!$F$11))^CHOOSE(MATCH(Inputs!$B$3,{"weibull","lognormal","loglogistic"},0),Inputs!$D$7,Inputs!$D$9,Inputs!$D$11)),1-NORM.S.DIST((LN(B85)-CHOOSE(MATCH(Inputs!$B$3,{"weibull","lognormal","loglogistic"},0),Inputs!$D$7,Inputs!$D$9,Inputs!$D$11))/CHOOSE(MATCH(Inputs!$B$3,{"weibull","lognormal","loglogistic"},0),Inputs!$F$7,Inputs!$F$9,Inputs!$F$11),TRUE))))</f>
        <v/>
      </c>
      <c r="D85">
        <f>IF(B85=0,1,IF(Inputs!$B$3="weibull",EXP(-(B85/CHOOSE(MATCH(Inputs!$B$3,{"weibull","lognormal","loglogistic"},0),Inputs!$F$8,Inputs!$F$10,Inputs!$F$12))^CHOOSE(MATCH(Inputs!$B$3,{"weibull","lognormal","loglogistic"},0),Inputs!$D$8,Inputs!$D$10,Inputs!$D$12)),IF(Inputs!$B$3="loglogistic",1/(1+(B85/CHOOSE(MATCH(Inputs!$B$3,{"weibull","lognormal","loglogistic"},0),Inputs!$F$8,Inputs!$F$10,Inputs!$F$12))^CHOOSE(MATCH(Inputs!$B$3,{"weibull","lognormal","loglogistic"},0),Inputs!$D$8,Inputs!$D$10,Inputs!$D$12)),1-NORM.S.DIST((LN(B85)-CHOOSE(MATCH(Inputs!$B$3,{"weibull","lognormal","loglogistic"},0),Inputs!$D$8,Inputs!$D$10,Inputs!$D$12))/CHOOSE(MATCH(Inputs!$B$3,{"weibull","lognormal","loglogistic"},0),Inputs!$F$8,Inputs!$F$10,Inputs!$F$12),TRUE))))</f>
        <v/>
      </c>
      <c r="E85">
        <f>(C84+C85)/2/12</f>
        <v/>
      </c>
      <c r="F85">
        <f>(D84+D85)/2/12</f>
        <v/>
      </c>
    </row>
    <row r="86">
      <c r="A86" t="n">
        <v>84</v>
      </c>
      <c r="B86">
        <f>A86/12</f>
        <v/>
      </c>
      <c r="C86">
        <f>IF(B86=0,1,IF(Inputs!$B$3="weibull",EXP(-(B86/CHOOSE(MATCH(Inputs!$B$3,{"weibull","lognormal","loglogistic"},0),Inputs!$F$7,Inputs!$F$9,Inputs!$F$11))^CHOOSE(MATCH(Inputs!$B$3,{"weibull","lognormal","loglogistic"},0),Inputs!$D$7,Inputs!$D$9,Inputs!$D$11)),IF(Inputs!$B$3="loglogistic",1/(1+(B86/CHOOSE(MATCH(Inputs!$B$3,{"weibull","lognormal","loglogistic"},0),Inputs!$F$7,Inputs!$F$9,Inputs!$F$11))^CHOOSE(MATCH(Inputs!$B$3,{"weibull","lognormal","loglogistic"},0),Inputs!$D$7,Inputs!$D$9,Inputs!$D$11)),1-NORM.S.DIST((LN(B86)-CHOOSE(MATCH(Inputs!$B$3,{"weibull","lognormal","loglogistic"},0),Inputs!$D$7,Inputs!$D$9,Inputs!$D$11))/CHOOSE(MATCH(Inputs!$B$3,{"weibull","lognormal","loglogistic"},0),Inputs!$F$7,Inputs!$F$9,Inputs!$F$11),TRUE))))</f>
        <v/>
      </c>
      <c r="D86">
        <f>IF(B86=0,1,IF(Inputs!$B$3="weibull",EXP(-(B86/CHOOSE(MATCH(Inputs!$B$3,{"weibull","lognormal","loglogistic"},0),Inputs!$F$8,Inputs!$F$10,Inputs!$F$12))^CHOOSE(MATCH(Inputs!$B$3,{"weibull","lognormal","loglogistic"},0),Inputs!$D$8,Inputs!$D$10,Inputs!$D$12)),IF(Inputs!$B$3="loglogistic",1/(1+(B86/CHOOSE(MATCH(Inputs!$B$3,{"weibull","lognormal","loglogistic"},0),Inputs!$F$8,Inputs!$F$10,Inputs!$F$12))^CHOOSE(MATCH(Inputs!$B$3,{"weibull","lognormal","loglogistic"},0),Inputs!$D$8,Inputs!$D$10,Inputs!$D$12)),1-NORM.S.DIST((LN(B86)-CHOOSE(MATCH(Inputs!$B$3,{"weibull","lognormal","loglogistic"},0),Inputs!$D$8,Inputs!$D$10,Inputs!$D$12))/CHOOSE(MATCH(Inputs!$B$3,{"weibull","lognormal","loglogistic"},0),Inputs!$F$8,Inputs!$F$10,Inputs!$F$12),TRUE))))</f>
        <v/>
      </c>
      <c r="E86">
        <f>(C85+C86)/2/12</f>
        <v/>
      </c>
      <c r="F86">
        <f>(D85+D86)/2/12</f>
        <v/>
      </c>
    </row>
    <row r="87">
      <c r="A87" t="n">
        <v>85</v>
      </c>
      <c r="B87">
        <f>A87/12</f>
        <v/>
      </c>
      <c r="C87">
        <f>IF(B87=0,1,IF(Inputs!$B$3="weibull",EXP(-(B87/CHOOSE(MATCH(Inputs!$B$3,{"weibull","lognormal","loglogistic"},0),Inputs!$F$7,Inputs!$F$9,Inputs!$F$11))^CHOOSE(MATCH(Inputs!$B$3,{"weibull","lognormal","loglogistic"},0),Inputs!$D$7,Inputs!$D$9,Inputs!$D$11)),IF(Inputs!$B$3="loglogistic",1/(1+(B87/CHOOSE(MATCH(Inputs!$B$3,{"weibull","lognormal","loglogistic"},0),Inputs!$F$7,Inputs!$F$9,Inputs!$F$11))^CHOOSE(MATCH(Inputs!$B$3,{"weibull","lognormal","loglogistic"},0),Inputs!$D$7,Inputs!$D$9,Inputs!$D$11)),1-NORM.S.DIST((LN(B87)-CHOOSE(MATCH(Inputs!$B$3,{"weibull","lognormal","loglogistic"},0),Inputs!$D$7,Inputs!$D$9,Inputs!$D$11))/CHOOSE(MATCH(Inputs!$B$3,{"weibull","lognormal","loglogistic"},0),Inputs!$F$7,Inputs!$F$9,Inputs!$F$11),TRUE))))</f>
        <v/>
      </c>
      <c r="D87">
        <f>IF(B87=0,1,IF(Inputs!$B$3="weibull",EXP(-(B87/CHOOSE(MATCH(Inputs!$B$3,{"weibull","lognormal","loglogistic"},0),Inputs!$F$8,Inputs!$F$10,Inputs!$F$12))^CHOOSE(MATCH(Inputs!$B$3,{"weibull","lognormal","loglogistic"},0),Inputs!$D$8,Inputs!$D$10,Inputs!$D$12)),IF(Inputs!$B$3="loglogistic",1/(1+(B87/CHOOSE(MATCH(Inputs!$B$3,{"weibull","lognormal","loglogistic"},0),Inputs!$F$8,Inputs!$F$10,Inputs!$F$12))^CHOOSE(MATCH(Inputs!$B$3,{"weibull","lognormal","loglogistic"},0),Inputs!$D$8,Inputs!$D$10,Inputs!$D$12)),1-NORM.S.DIST((LN(B87)-CHOOSE(MATCH(Inputs!$B$3,{"weibull","lognormal","loglogistic"},0),Inputs!$D$8,Inputs!$D$10,Inputs!$D$12))/CHOOSE(MATCH(Inputs!$B$3,{"weibull","lognormal","loglogistic"},0),Inputs!$F$8,Inputs!$F$10,Inputs!$F$12),TRUE))))</f>
        <v/>
      </c>
      <c r="E87">
        <f>(C86+C87)/2/12</f>
        <v/>
      </c>
      <c r="F87">
        <f>(D86+D87)/2/12</f>
        <v/>
      </c>
    </row>
    <row r="88">
      <c r="A88" t="n">
        <v>86</v>
      </c>
      <c r="B88">
        <f>A88/12</f>
        <v/>
      </c>
      <c r="C88">
        <f>IF(B88=0,1,IF(Inputs!$B$3="weibull",EXP(-(B88/CHOOSE(MATCH(Inputs!$B$3,{"weibull","lognormal","loglogistic"},0),Inputs!$F$7,Inputs!$F$9,Inputs!$F$11))^CHOOSE(MATCH(Inputs!$B$3,{"weibull","lognormal","loglogistic"},0),Inputs!$D$7,Inputs!$D$9,Inputs!$D$11)),IF(Inputs!$B$3="loglogistic",1/(1+(B88/CHOOSE(MATCH(Inputs!$B$3,{"weibull","lognormal","loglogistic"},0),Inputs!$F$7,Inputs!$F$9,Inputs!$F$11))^CHOOSE(MATCH(Inputs!$B$3,{"weibull","lognormal","loglogistic"},0),Inputs!$D$7,Inputs!$D$9,Inputs!$D$11)),1-NORM.S.DIST((LN(B88)-CHOOSE(MATCH(Inputs!$B$3,{"weibull","lognormal","loglogistic"},0),Inputs!$D$7,Inputs!$D$9,Inputs!$D$11))/CHOOSE(MATCH(Inputs!$B$3,{"weibull","lognormal","loglogistic"},0),Inputs!$F$7,Inputs!$F$9,Inputs!$F$11),TRUE))))</f>
        <v/>
      </c>
      <c r="D88">
        <f>IF(B88=0,1,IF(Inputs!$B$3="weibull",EXP(-(B88/CHOOSE(MATCH(Inputs!$B$3,{"weibull","lognormal","loglogistic"},0),Inputs!$F$8,Inputs!$F$10,Inputs!$F$12))^CHOOSE(MATCH(Inputs!$B$3,{"weibull","lognormal","loglogistic"},0),Inputs!$D$8,Inputs!$D$10,Inputs!$D$12)),IF(Inputs!$B$3="loglogistic",1/(1+(B88/CHOOSE(MATCH(Inputs!$B$3,{"weibull","lognormal","loglogistic"},0),Inputs!$F$8,Inputs!$F$10,Inputs!$F$12))^CHOOSE(MATCH(Inputs!$B$3,{"weibull","lognormal","loglogistic"},0),Inputs!$D$8,Inputs!$D$10,Inputs!$D$12)),1-NORM.S.DIST((LN(B88)-CHOOSE(MATCH(Inputs!$B$3,{"weibull","lognormal","loglogistic"},0),Inputs!$D$8,Inputs!$D$10,Inputs!$D$12))/CHOOSE(MATCH(Inputs!$B$3,{"weibull","lognormal","loglogistic"},0),Inputs!$F$8,Inputs!$F$10,Inputs!$F$12),TRUE))))</f>
        <v/>
      </c>
      <c r="E88">
        <f>(C87+C88)/2/12</f>
        <v/>
      </c>
      <c r="F88">
        <f>(D87+D88)/2/12</f>
        <v/>
      </c>
    </row>
    <row r="89">
      <c r="A89" t="n">
        <v>87</v>
      </c>
      <c r="B89">
        <f>A89/12</f>
        <v/>
      </c>
      <c r="C89">
        <f>IF(B89=0,1,IF(Inputs!$B$3="weibull",EXP(-(B89/CHOOSE(MATCH(Inputs!$B$3,{"weibull","lognormal","loglogistic"},0),Inputs!$F$7,Inputs!$F$9,Inputs!$F$11))^CHOOSE(MATCH(Inputs!$B$3,{"weibull","lognormal","loglogistic"},0),Inputs!$D$7,Inputs!$D$9,Inputs!$D$11)),IF(Inputs!$B$3="loglogistic",1/(1+(B89/CHOOSE(MATCH(Inputs!$B$3,{"weibull","lognormal","loglogistic"},0),Inputs!$F$7,Inputs!$F$9,Inputs!$F$11))^CHOOSE(MATCH(Inputs!$B$3,{"weibull","lognormal","loglogistic"},0),Inputs!$D$7,Inputs!$D$9,Inputs!$D$11)),1-NORM.S.DIST((LN(B89)-CHOOSE(MATCH(Inputs!$B$3,{"weibull","lognormal","loglogistic"},0),Inputs!$D$7,Inputs!$D$9,Inputs!$D$11))/CHOOSE(MATCH(Inputs!$B$3,{"weibull","lognormal","loglogistic"},0),Inputs!$F$7,Inputs!$F$9,Inputs!$F$11),TRUE))))</f>
        <v/>
      </c>
      <c r="D89">
        <f>IF(B89=0,1,IF(Inputs!$B$3="weibull",EXP(-(B89/CHOOSE(MATCH(Inputs!$B$3,{"weibull","lognormal","loglogistic"},0),Inputs!$F$8,Inputs!$F$10,Inputs!$F$12))^CHOOSE(MATCH(Inputs!$B$3,{"weibull","lognormal","loglogistic"},0),Inputs!$D$8,Inputs!$D$10,Inputs!$D$12)),IF(Inputs!$B$3="loglogistic",1/(1+(B89/CHOOSE(MATCH(Inputs!$B$3,{"weibull","lognormal","loglogistic"},0),Inputs!$F$8,Inputs!$F$10,Inputs!$F$12))^CHOOSE(MATCH(Inputs!$B$3,{"weibull","lognormal","loglogistic"},0),Inputs!$D$8,Inputs!$D$10,Inputs!$D$12)),1-NORM.S.DIST((LN(B89)-CHOOSE(MATCH(Inputs!$B$3,{"weibull","lognormal","loglogistic"},0),Inputs!$D$8,Inputs!$D$10,Inputs!$D$12))/CHOOSE(MATCH(Inputs!$B$3,{"weibull","lognormal","loglogistic"},0),Inputs!$F$8,Inputs!$F$10,Inputs!$F$12),TRUE))))</f>
        <v/>
      </c>
      <c r="E89">
        <f>(C88+C89)/2/12</f>
        <v/>
      </c>
      <c r="F89">
        <f>(D88+D89)/2/12</f>
        <v/>
      </c>
    </row>
    <row r="90">
      <c r="A90" t="n">
        <v>88</v>
      </c>
      <c r="B90">
        <f>A90/12</f>
        <v/>
      </c>
      <c r="C90">
        <f>IF(B90=0,1,IF(Inputs!$B$3="weibull",EXP(-(B90/CHOOSE(MATCH(Inputs!$B$3,{"weibull","lognormal","loglogistic"},0),Inputs!$F$7,Inputs!$F$9,Inputs!$F$11))^CHOOSE(MATCH(Inputs!$B$3,{"weibull","lognormal","loglogistic"},0),Inputs!$D$7,Inputs!$D$9,Inputs!$D$11)),IF(Inputs!$B$3="loglogistic",1/(1+(B90/CHOOSE(MATCH(Inputs!$B$3,{"weibull","lognormal","loglogistic"},0),Inputs!$F$7,Inputs!$F$9,Inputs!$F$11))^CHOOSE(MATCH(Inputs!$B$3,{"weibull","lognormal","loglogistic"},0),Inputs!$D$7,Inputs!$D$9,Inputs!$D$11)),1-NORM.S.DIST((LN(B90)-CHOOSE(MATCH(Inputs!$B$3,{"weibull","lognormal","loglogistic"},0),Inputs!$D$7,Inputs!$D$9,Inputs!$D$11))/CHOOSE(MATCH(Inputs!$B$3,{"weibull","lognormal","loglogistic"},0),Inputs!$F$7,Inputs!$F$9,Inputs!$F$11),TRUE))))</f>
        <v/>
      </c>
      <c r="D90">
        <f>IF(B90=0,1,IF(Inputs!$B$3="weibull",EXP(-(B90/CHOOSE(MATCH(Inputs!$B$3,{"weibull","lognormal","loglogistic"},0),Inputs!$F$8,Inputs!$F$10,Inputs!$F$12))^CHOOSE(MATCH(Inputs!$B$3,{"weibull","lognormal","loglogistic"},0),Inputs!$D$8,Inputs!$D$10,Inputs!$D$12)),IF(Inputs!$B$3="loglogistic",1/(1+(B90/CHOOSE(MATCH(Inputs!$B$3,{"weibull","lognormal","loglogistic"},0),Inputs!$F$8,Inputs!$F$10,Inputs!$F$12))^CHOOSE(MATCH(Inputs!$B$3,{"weibull","lognormal","loglogistic"},0),Inputs!$D$8,Inputs!$D$10,Inputs!$D$12)),1-NORM.S.DIST((LN(B90)-CHOOSE(MATCH(Inputs!$B$3,{"weibull","lognormal","loglogistic"},0),Inputs!$D$8,Inputs!$D$10,Inputs!$D$12))/CHOOSE(MATCH(Inputs!$B$3,{"weibull","lognormal","loglogistic"},0),Inputs!$F$8,Inputs!$F$10,Inputs!$F$12),TRUE))))</f>
        <v/>
      </c>
      <c r="E90">
        <f>(C89+C90)/2/12</f>
        <v/>
      </c>
      <c r="F90">
        <f>(D89+D90)/2/12</f>
        <v/>
      </c>
    </row>
    <row r="91">
      <c r="A91" t="n">
        <v>89</v>
      </c>
      <c r="B91">
        <f>A91/12</f>
        <v/>
      </c>
      <c r="C91">
        <f>IF(B91=0,1,IF(Inputs!$B$3="weibull",EXP(-(B91/CHOOSE(MATCH(Inputs!$B$3,{"weibull","lognormal","loglogistic"},0),Inputs!$F$7,Inputs!$F$9,Inputs!$F$11))^CHOOSE(MATCH(Inputs!$B$3,{"weibull","lognormal","loglogistic"},0),Inputs!$D$7,Inputs!$D$9,Inputs!$D$11)),IF(Inputs!$B$3="loglogistic",1/(1+(B91/CHOOSE(MATCH(Inputs!$B$3,{"weibull","lognormal","loglogistic"},0),Inputs!$F$7,Inputs!$F$9,Inputs!$F$11))^CHOOSE(MATCH(Inputs!$B$3,{"weibull","lognormal","loglogistic"},0),Inputs!$D$7,Inputs!$D$9,Inputs!$D$11)),1-NORM.S.DIST((LN(B91)-CHOOSE(MATCH(Inputs!$B$3,{"weibull","lognormal","loglogistic"},0),Inputs!$D$7,Inputs!$D$9,Inputs!$D$11))/CHOOSE(MATCH(Inputs!$B$3,{"weibull","lognormal","loglogistic"},0),Inputs!$F$7,Inputs!$F$9,Inputs!$F$11),TRUE))))</f>
        <v/>
      </c>
      <c r="D91">
        <f>IF(B91=0,1,IF(Inputs!$B$3="weibull",EXP(-(B91/CHOOSE(MATCH(Inputs!$B$3,{"weibull","lognormal","loglogistic"},0),Inputs!$F$8,Inputs!$F$10,Inputs!$F$12))^CHOOSE(MATCH(Inputs!$B$3,{"weibull","lognormal","loglogistic"},0),Inputs!$D$8,Inputs!$D$10,Inputs!$D$12)),IF(Inputs!$B$3="loglogistic",1/(1+(B91/CHOOSE(MATCH(Inputs!$B$3,{"weibull","lognormal","loglogistic"},0),Inputs!$F$8,Inputs!$F$10,Inputs!$F$12))^CHOOSE(MATCH(Inputs!$B$3,{"weibull","lognormal","loglogistic"},0),Inputs!$D$8,Inputs!$D$10,Inputs!$D$12)),1-NORM.S.DIST((LN(B91)-CHOOSE(MATCH(Inputs!$B$3,{"weibull","lognormal","loglogistic"},0),Inputs!$D$8,Inputs!$D$10,Inputs!$D$12))/CHOOSE(MATCH(Inputs!$B$3,{"weibull","lognormal","loglogistic"},0),Inputs!$F$8,Inputs!$F$10,Inputs!$F$12),TRUE))))</f>
        <v/>
      </c>
      <c r="E91">
        <f>(C90+C91)/2/12</f>
        <v/>
      </c>
      <c r="F91">
        <f>(D90+D91)/2/12</f>
        <v/>
      </c>
    </row>
    <row r="92">
      <c r="A92" t="n">
        <v>90</v>
      </c>
      <c r="B92">
        <f>A92/12</f>
        <v/>
      </c>
      <c r="C92">
        <f>IF(B92=0,1,IF(Inputs!$B$3="weibull",EXP(-(B92/CHOOSE(MATCH(Inputs!$B$3,{"weibull","lognormal","loglogistic"},0),Inputs!$F$7,Inputs!$F$9,Inputs!$F$11))^CHOOSE(MATCH(Inputs!$B$3,{"weibull","lognormal","loglogistic"},0),Inputs!$D$7,Inputs!$D$9,Inputs!$D$11)),IF(Inputs!$B$3="loglogistic",1/(1+(B92/CHOOSE(MATCH(Inputs!$B$3,{"weibull","lognormal","loglogistic"},0),Inputs!$F$7,Inputs!$F$9,Inputs!$F$11))^CHOOSE(MATCH(Inputs!$B$3,{"weibull","lognormal","loglogistic"},0),Inputs!$D$7,Inputs!$D$9,Inputs!$D$11)),1-NORM.S.DIST((LN(B92)-CHOOSE(MATCH(Inputs!$B$3,{"weibull","lognormal","loglogistic"},0),Inputs!$D$7,Inputs!$D$9,Inputs!$D$11))/CHOOSE(MATCH(Inputs!$B$3,{"weibull","lognormal","loglogistic"},0),Inputs!$F$7,Inputs!$F$9,Inputs!$F$11),TRUE))))</f>
        <v/>
      </c>
      <c r="D92">
        <f>IF(B92=0,1,IF(Inputs!$B$3="weibull",EXP(-(B92/CHOOSE(MATCH(Inputs!$B$3,{"weibull","lognormal","loglogistic"},0),Inputs!$F$8,Inputs!$F$10,Inputs!$F$12))^CHOOSE(MATCH(Inputs!$B$3,{"weibull","lognormal","loglogistic"},0),Inputs!$D$8,Inputs!$D$10,Inputs!$D$12)),IF(Inputs!$B$3="loglogistic",1/(1+(B92/CHOOSE(MATCH(Inputs!$B$3,{"weibull","lognormal","loglogistic"},0),Inputs!$F$8,Inputs!$F$10,Inputs!$F$12))^CHOOSE(MATCH(Inputs!$B$3,{"weibull","lognormal","loglogistic"},0),Inputs!$D$8,Inputs!$D$10,Inputs!$D$12)),1-NORM.S.DIST((LN(B92)-CHOOSE(MATCH(Inputs!$B$3,{"weibull","lognormal","loglogistic"},0),Inputs!$D$8,Inputs!$D$10,Inputs!$D$12))/CHOOSE(MATCH(Inputs!$B$3,{"weibull","lognormal","loglogistic"},0),Inputs!$F$8,Inputs!$F$10,Inputs!$F$12),TRUE))))</f>
        <v/>
      </c>
      <c r="E92">
        <f>(C91+C92)/2/12</f>
        <v/>
      </c>
      <c r="F92">
        <f>(D91+D92)/2/12</f>
        <v/>
      </c>
    </row>
    <row r="93">
      <c r="A93" t="n">
        <v>91</v>
      </c>
      <c r="B93">
        <f>A93/12</f>
        <v/>
      </c>
      <c r="C93">
        <f>IF(B93=0,1,IF(Inputs!$B$3="weibull",EXP(-(B93/CHOOSE(MATCH(Inputs!$B$3,{"weibull","lognormal","loglogistic"},0),Inputs!$F$7,Inputs!$F$9,Inputs!$F$11))^CHOOSE(MATCH(Inputs!$B$3,{"weibull","lognormal","loglogistic"},0),Inputs!$D$7,Inputs!$D$9,Inputs!$D$11)),IF(Inputs!$B$3="loglogistic",1/(1+(B93/CHOOSE(MATCH(Inputs!$B$3,{"weibull","lognormal","loglogistic"},0),Inputs!$F$7,Inputs!$F$9,Inputs!$F$11))^CHOOSE(MATCH(Inputs!$B$3,{"weibull","lognormal","loglogistic"},0),Inputs!$D$7,Inputs!$D$9,Inputs!$D$11)),1-NORM.S.DIST((LN(B93)-CHOOSE(MATCH(Inputs!$B$3,{"weibull","lognormal","loglogistic"},0),Inputs!$D$7,Inputs!$D$9,Inputs!$D$11))/CHOOSE(MATCH(Inputs!$B$3,{"weibull","lognormal","loglogistic"},0),Inputs!$F$7,Inputs!$F$9,Inputs!$F$11),TRUE))))</f>
        <v/>
      </c>
      <c r="D93">
        <f>IF(B93=0,1,IF(Inputs!$B$3="weibull",EXP(-(B93/CHOOSE(MATCH(Inputs!$B$3,{"weibull","lognormal","loglogistic"},0),Inputs!$F$8,Inputs!$F$10,Inputs!$F$12))^CHOOSE(MATCH(Inputs!$B$3,{"weibull","lognormal","loglogistic"},0),Inputs!$D$8,Inputs!$D$10,Inputs!$D$12)),IF(Inputs!$B$3="loglogistic",1/(1+(B93/CHOOSE(MATCH(Inputs!$B$3,{"weibull","lognormal","loglogistic"},0),Inputs!$F$8,Inputs!$F$10,Inputs!$F$12))^CHOOSE(MATCH(Inputs!$B$3,{"weibull","lognormal","loglogistic"},0),Inputs!$D$8,Inputs!$D$10,Inputs!$D$12)),1-NORM.S.DIST((LN(B93)-CHOOSE(MATCH(Inputs!$B$3,{"weibull","lognormal","loglogistic"},0),Inputs!$D$8,Inputs!$D$10,Inputs!$D$12))/CHOOSE(MATCH(Inputs!$B$3,{"weibull","lognormal","loglogistic"},0),Inputs!$F$8,Inputs!$F$10,Inputs!$F$12),TRUE))))</f>
        <v/>
      </c>
      <c r="E93">
        <f>(C92+C93)/2/12</f>
        <v/>
      </c>
      <c r="F93">
        <f>(D92+D93)/2/12</f>
        <v/>
      </c>
    </row>
    <row r="94">
      <c r="A94" t="n">
        <v>92</v>
      </c>
      <c r="B94">
        <f>A94/12</f>
        <v/>
      </c>
      <c r="C94">
        <f>IF(B94=0,1,IF(Inputs!$B$3="weibull",EXP(-(B94/CHOOSE(MATCH(Inputs!$B$3,{"weibull","lognormal","loglogistic"},0),Inputs!$F$7,Inputs!$F$9,Inputs!$F$11))^CHOOSE(MATCH(Inputs!$B$3,{"weibull","lognormal","loglogistic"},0),Inputs!$D$7,Inputs!$D$9,Inputs!$D$11)),IF(Inputs!$B$3="loglogistic",1/(1+(B94/CHOOSE(MATCH(Inputs!$B$3,{"weibull","lognormal","loglogistic"},0),Inputs!$F$7,Inputs!$F$9,Inputs!$F$11))^CHOOSE(MATCH(Inputs!$B$3,{"weibull","lognormal","loglogistic"},0),Inputs!$D$7,Inputs!$D$9,Inputs!$D$11)),1-NORM.S.DIST((LN(B94)-CHOOSE(MATCH(Inputs!$B$3,{"weibull","lognormal","loglogistic"},0),Inputs!$D$7,Inputs!$D$9,Inputs!$D$11))/CHOOSE(MATCH(Inputs!$B$3,{"weibull","lognormal","loglogistic"},0),Inputs!$F$7,Inputs!$F$9,Inputs!$F$11),TRUE))))</f>
        <v/>
      </c>
      <c r="D94">
        <f>IF(B94=0,1,IF(Inputs!$B$3="weibull",EXP(-(B94/CHOOSE(MATCH(Inputs!$B$3,{"weibull","lognormal","loglogistic"},0),Inputs!$F$8,Inputs!$F$10,Inputs!$F$12))^CHOOSE(MATCH(Inputs!$B$3,{"weibull","lognormal","loglogistic"},0),Inputs!$D$8,Inputs!$D$10,Inputs!$D$12)),IF(Inputs!$B$3="loglogistic",1/(1+(B94/CHOOSE(MATCH(Inputs!$B$3,{"weibull","lognormal","loglogistic"},0),Inputs!$F$8,Inputs!$F$10,Inputs!$F$12))^CHOOSE(MATCH(Inputs!$B$3,{"weibull","lognormal","loglogistic"},0),Inputs!$D$8,Inputs!$D$10,Inputs!$D$12)),1-NORM.S.DIST((LN(B94)-CHOOSE(MATCH(Inputs!$B$3,{"weibull","lognormal","loglogistic"},0),Inputs!$D$8,Inputs!$D$10,Inputs!$D$12))/CHOOSE(MATCH(Inputs!$B$3,{"weibull","lognormal","loglogistic"},0),Inputs!$F$8,Inputs!$F$10,Inputs!$F$12),TRUE))))</f>
        <v/>
      </c>
      <c r="E94">
        <f>(C93+C94)/2/12</f>
        <v/>
      </c>
      <c r="F94">
        <f>(D93+D94)/2/12</f>
        <v/>
      </c>
    </row>
    <row r="95">
      <c r="A95" t="n">
        <v>93</v>
      </c>
      <c r="B95">
        <f>A95/12</f>
        <v/>
      </c>
      <c r="C95">
        <f>IF(B95=0,1,IF(Inputs!$B$3="weibull",EXP(-(B95/CHOOSE(MATCH(Inputs!$B$3,{"weibull","lognormal","loglogistic"},0),Inputs!$F$7,Inputs!$F$9,Inputs!$F$11))^CHOOSE(MATCH(Inputs!$B$3,{"weibull","lognormal","loglogistic"},0),Inputs!$D$7,Inputs!$D$9,Inputs!$D$11)),IF(Inputs!$B$3="loglogistic",1/(1+(B95/CHOOSE(MATCH(Inputs!$B$3,{"weibull","lognormal","loglogistic"},0),Inputs!$F$7,Inputs!$F$9,Inputs!$F$11))^CHOOSE(MATCH(Inputs!$B$3,{"weibull","lognormal","loglogistic"},0),Inputs!$D$7,Inputs!$D$9,Inputs!$D$11)),1-NORM.S.DIST((LN(B95)-CHOOSE(MATCH(Inputs!$B$3,{"weibull","lognormal","loglogistic"},0),Inputs!$D$7,Inputs!$D$9,Inputs!$D$11))/CHOOSE(MATCH(Inputs!$B$3,{"weibull","lognormal","loglogistic"},0),Inputs!$F$7,Inputs!$F$9,Inputs!$F$11),TRUE))))</f>
        <v/>
      </c>
      <c r="D95">
        <f>IF(B95=0,1,IF(Inputs!$B$3="weibull",EXP(-(B95/CHOOSE(MATCH(Inputs!$B$3,{"weibull","lognormal","loglogistic"},0),Inputs!$F$8,Inputs!$F$10,Inputs!$F$12))^CHOOSE(MATCH(Inputs!$B$3,{"weibull","lognormal","loglogistic"},0),Inputs!$D$8,Inputs!$D$10,Inputs!$D$12)),IF(Inputs!$B$3="loglogistic",1/(1+(B95/CHOOSE(MATCH(Inputs!$B$3,{"weibull","lognormal","loglogistic"},0),Inputs!$F$8,Inputs!$F$10,Inputs!$F$12))^CHOOSE(MATCH(Inputs!$B$3,{"weibull","lognormal","loglogistic"},0),Inputs!$D$8,Inputs!$D$10,Inputs!$D$12)),1-NORM.S.DIST((LN(B95)-CHOOSE(MATCH(Inputs!$B$3,{"weibull","lognormal","loglogistic"},0),Inputs!$D$8,Inputs!$D$10,Inputs!$D$12))/CHOOSE(MATCH(Inputs!$B$3,{"weibull","lognormal","loglogistic"},0),Inputs!$F$8,Inputs!$F$10,Inputs!$F$12),TRUE))))</f>
        <v/>
      </c>
      <c r="E95">
        <f>(C94+C95)/2/12</f>
        <v/>
      </c>
      <c r="F95">
        <f>(D94+D95)/2/12</f>
        <v/>
      </c>
    </row>
    <row r="96">
      <c r="A96" t="n">
        <v>94</v>
      </c>
      <c r="B96">
        <f>A96/12</f>
        <v/>
      </c>
      <c r="C96">
        <f>IF(B96=0,1,IF(Inputs!$B$3="weibull",EXP(-(B96/CHOOSE(MATCH(Inputs!$B$3,{"weibull","lognormal","loglogistic"},0),Inputs!$F$7,Inputs!$F$9,Inputs!$F$11))^CHOOSE(MATCH(Inputs!$B$3,{"weibull","lognormal","loglogistic"},0),Inputs!$D$7,Inputs!$D$9,Inputs!$D$11)),IF(Inputs!$B$3="loglogistic",1/(1+(B96/CHOOSE(MATCH(Inputs!$B$3,{"weibull","lognormal","loglogistic"},0),Inputs!$F$7,Inputs!$F$9,Inputs!$F$11))^CHOOSE(MATCH(Inputs!$B$3,{"weibull","lognormal","loglogistic"},0),Inputs!$D$7,Inputs!$D$9,Inputs!$D$11)),1-NORM.S.DIST((LN(B96)-CHOOSE(MATCH(Inputs!$B$3,{"weibull","lognormal","loglogistic"},0),Inputs!$D$7,Inputs!$D$9,Inputs!$D$11))/CHOOSE(MATCH(Inputs!$B$3,{"weibull","lognormal","loglogistic"},0),Inputs!$F$7,Inputs!$F$9,Inputs!$F$11),TRUE))))</f>
        <v/>
      </c>
      <c r="D96">
        <f>IF(B96=0,1,IF(Inputs!$B$3="weibull",EXP(-(B96/CHOOSE(MATCH(Inputs!$B$3,{"weibull","lognormal","loglogistic"},0),Inputs!$F$8,Inputs!$F$10,Inputs!$F$12))^CHOOSE(MATCH(Inputs!$B$3,{"weibull","lognormal","loglogistic"},0),Inputs!$D$8,Inputs!$D$10,Inputs!$D$12)),IF(Inputs!$B$3="loglogistic",1/(1+(B96/CHOOSE(MATCH(Inputs!$B$3,{"weibull","lognormal","loglogistic"},0),Inputs!$F$8,Inputs!$F$10,Inputs!$F$12))^CHOOSE(MATCH(Inputs!$B$3,{"weibull","lognormal","loglogistic"},0),Inputs!$D$8,Inputs!$D$10,Inputs!$D$12)),1-NORM.S.DIST((LN(B96)-CHOOSE(MATCH(Inputs!$B$3,{"weibull","lognormal","loglogistic"},0),Inputs!$D$8,Inputs!$D$10,Inputs!$D$12))/CHOOSE(MATCH(Inputs!$B$3,{"weibull","lognormal","loglogistic"},0),Inputs!$F$8,Inputs!$F$10,Inputs!$F$12),TRUE))))</f>
        <v/>
      </c>
      <c r="E96">
        <f>(C95+C96)/2/12</f>
        <v/>
      </c>
      <c r="F96">
        <f>(D95+D96)/2/12</f>
        <v/>
      </c>
    </row>
    <row r="97">
      <c r="A97" t="n">
        <v>95</v>
      </c>
      <c r="B97">
        <f>A97/12</f>
        <v/>
      </c>
      <c r="C97">
        <f>IF(B97=0,1,IF(Inputs!$B$3="weibull",EXP(-(B97/CHOOSE(MATCH(Inputs!$B$3,{"weibull","lognormal","loglogistic"},0),Inputs!$F$7,Inputs!$F$9,Inputs!$F$11))^CHOOSE(MATCH(Inputs!$B$3,{"weibull","lognormal","loglogistic"},0),Inputs!$D$7,Inputs!$D$9,Inputs!$D$11)),IF(Inputs!$B$3="loglogistic",1/(1+(B97/CHOOSE(MATCH(Inputs!$B$3,{"weibull","lognormal","loglogistic"},0),Inputs!$F$7,Inputs!$F$9,Inputs!$F$11))^CHOOSE(MATCH(Inputs!$B$3,{"weibull","lognormal","loglogistic"},0),Inputs!$D$7,Inputs!$D$9,Inputs!$D$11)),1-NORM.S.DIST((LN(B97)-CHOOSE(MATCH(Inputs!$B$3,{"weibull","lognormal","loglogistic"},0),Inputs!$D$7,Inputs!$D$9,Inputs!$D$11))/CHOOSE(MATCH(Inputs!$B$3,{"weibull","lognormal","loglogistic"},0),Inputs!$F$7,Inputs!$F$9,Inputs!$F$11),TRUE))))</f>
        <v/>
      </c>
      <c r="D97">
        <f>IF(B97=0,1,IF(Inputs!$B$3="weibull",EXP(-(B97/CHOOSE(MATCH(Inputs!$B$3,{"weibull","lognormal","loglogistic"},0),Inputs!$F$8,Inputs!$F$10,Inputs!$F$12))^CHOOSE(MATCH(Inputs!$B$3,{"weibull","lognormal","loglogistic"},0),Inputs!$D$8,Inputs!$D$10,Inputs!$D$12)),IF(Inputs!$B$3="loglogistic",1/(1+(B97/CHOOSE(MATCH(Inputs!$B$3,{"weibull","lognormal","loglogistic"},0),Inputs!$F$8,Inputs!$F$10,Inputs!$F$12))^CHOOSE(MATCH(Inputs!$B$3,{"weibull","lognormal","loglogistic"},0),Inputs!$D$8,Inputs!$D$10,Inputs!$D$12)),1-NORM.S.DIST((LN(B97)-CHOOSE(MATCH(Inputs!$B$3,{"weibull","lognormal","loglogistic"},0),Inputs!$D$8,Inputs!$D$10,Inputs!$D$12))/CHOOSE(MATCH(Inputs!$B$3,{"weibull","lognormal","loglogistic"},0),Inputs!$F$8,Inputs!$F$10,Inputs!$F$12),TRUE))))</f>
        <v/>
      </c>
      <c r="E97">
        <f>(C96+C97)/2/12</f>
        <v/>
      </c>
      <c r="F97">
        <f>(D96+D97)/2/12</f>
        <v/>
      </c>
    </row>
    <row r="98">
      <c r="A98" t="n">
        <v>96</v>
      </c>
      <c r="B98">
        <f>A98/12</f>
        <v/>
      </c>
      <c r="C98">
        <f>IF(B98=0,1,IF(Inputs!$B$3="weibull",EXP(-(B98/CHOOSE(MATCH(Inputs!$B$3,{"weibull","lognormal","loglogistic"},0),Inputs!$F$7,Inputs!$F$9,Inputs!$F$11))^CHOOSE(MATCH(Inputs!$B$3,{"weibull","lognormal","loglogistic"},0),Inputs!$D$7,Inputs!$D$9,Inputs!$D$11)),IF(Inputs!$B$3="loglogistic",1/(1+(B98/CHOOSE(MATCH(Inputs!$B$3,{"weibull","lognormal","loglogistic"},0),Inputs!$F$7,Inputs!$F$9,Inputs!$F$11))^CHOOSE(MATCH(Inputs!$B$3,{"weibull","lognormal","loglogistic"},0),Inputs!$D$7,Inputs!$D$9,Inputs!$D$11)),1-NORM.S.DIST((LN(B98)-CHOOSE(MATCH(Inputs!$B$3,{"weibull","lognormal","loglogistic"},0),Inputs!$D$7,Inputs!$D$9,Inputs!$D$11))/CHOOSE(MATCH(Inputs!$B$3,{"weibull","lognormal","loglogistic"},0),Inputs!$F$7,Inputs!$F$9,Inputs!$F$11),TRUE))))</f>
        <v/>
      </c>
      <c r="D98">
        <f>IF(B98=0,1,IF(Inputs!$B$3="weibull",EXP(-(B98/CHOOSE(MATCH(Inputs!$B$3,{"weibull","lognormal","loglogistic"},0),Inputs!$F$8,Inputs!$F$10,Inputs!$F$12))^CHOOSE(MATCH(Inputs!$B$3,{"weibull","lognormal","loglogistic"},0),Inputs!$D$8,Inputs!$D$10,Inputs!$D$12)),IF(Inputs!$B$3="loglogistic",1/(1+(B98/CHOOSE(MATCH(Inputs!$B$3,{"weibull","lognormal","loglogistic"},0),Inputs!$F$8,Inputs!$F$10,Inputs!$F$12))^CHOOSE(MATCH(Inputs!$B$3,{"weibull","lognormal","loglogistic"},0),Inputs!$D$8,Inputs!$D$10,Inputs!$D$12)),1-NORM.S.DIST((LN(B98)-CHOOSE(MATCH(Inputs!$B$3,{"weibull","lognormal","loglogistic"},0),Inputs!$D$8,Inputs!$D$10,Inputs!$D$12))/CHOOSE(MATCH(Inputs!$B$3,{"weibull","lognormal","loglogistic"},0),Inputs!$F$8,Inputs!$F$10,Inputs!$F$12),TRUE))))</f>
        <v/>
      </c>
      <c r="E98">
        <f>(C97+C98)/2/12</f>
        <v/>
      </c>
      <c r="F98">
        <f>(D97+D98)/2/12</f>
        <v/>
      </c>
    </row>
    <row r="99">
      <c r="A99" t="n">
        <v>97</v>
      </c>
      <c r="B99">
        <f>A99/12</f>
        <v/>
      </c>
      <c r="C99">
        <f>IF(B99=0,1,IF(Inputs!$B$3="weibull",EXP(-(B99/CHOOSE(MATCH(Inputs!$B$3,{"weibull","lognormal","loglogistic"},0),Inputs!$F$7,Inputs!$F$9,Inputs!$F$11))^CHOOSE(MATCH(Inputs!$B$3,{"weibull","lognormal","loglogistic"},0),Inputs!$D$7,Inputs!$D$9,Inputs!$D$11)),IF(Inputs!$B$3="loglogistic",1/(1+(B99/CHOOSE(MATCH(Inputs!$B$3,{"weibull","lognormal","loglogistic"},0),Inputs!$F$7,Inputs!$F$9,Inputs!$F$11))^CHOOSE(MATCH(Inputs!$B$3,{"weibull","lognormal","loglogistic"},0),Inputs!$D$7,Inputs!$D$9,Inputs!$D$11)),1-NORM.S.DIST((LN(B99)-CHOOSE(MATCH(Inputs!$B$3,{"weibull","lognormal","loglogistic"},0),Inputs!$D$7,Inputs!$D$9,Inputs!$D$11))/CHOOSE(MATCH(Inputs!$B$3,{"weibull","lognormal","loglogistic"},0),Inputs!$F$7,Inputs!$F$9,Inputs!$F$11),TRUE))))</f>
        <v/>
      </c>
      <c r="D99">
        <f>IF(B99=0,1,IF(Inputs!$B$3="weibull",EXP(-(B99/CHOOSE(MATCH(Inputs!$B$3,{"weibull","lognormal","loglogistic"},0),Inputs!$F$8,Inputs!$F$10,Inputs!$F$12))^CHOOSE(MATCH(Inputs!$B$3,{"weibull","lognormal","loglogistic"},0),Inputs!$D$8,Inputs!$D$10,Inputs!$D$12)),IF(Inputs!$B$3="loglogistic",1/(1+(B99/CHOOSE(MATCH(Inputs!$B$3,{"weibull","lognormal","loglogistic"},0),Inputs!$F$8,Inputs!$F$10,Inputs!$F$12))^CHOOSE(MATCH(Inputs!$B$3,{"weibull","lognormal","loglogistic"},0),Inputs!$D$8,Inputs!$D$10,Inputs!$D$12)),1-NORM.S.DIST((LN(B99)-CHOOSE(MATCH(Inputs!$B$3,{"weibull","lognormal","loglogistic"},0),Inputs!$D$8,Inputs!$D$10,Inputs!$D$12))/CHOOSE(MATCH(Inputs!$B$3,{"weibull","lognormal","loglogistic"},0),Inputs!$F$8,Inputs!$F$10,Inputs!$F$12),TRUE))))</f>
        <v/>
      </c>
      <c r="E99">
        <f>(C98+C99)/2/12</f>
        <v/>
      </c>
      <c r="F99">
        <f>(D98+D99)/2/12</f>
        <v/>
      </c>
    </row>
    <row r="100">
      <c r="A100" t="n">
        <v>98</v>
      </c>
      <c r="B100">
        <f>A100/12</f>
        <v/>
      </c>
      <c r="C100">
        <f>IF(B100=0,1,IF(Inputs!$B$3="weibull",EXP(-(B100/CHOOSE(MATCH(Inputs!$B$3,{"weibull","lognormal","loglogistic"},0),Inputs!$F$7,Inputs!$F$9,Inputs!$F$11))^CHOOSE(MATCH(Inputs!$B$3,{"weibull","lognormal","loglogistic"},0),Inputs!$D$7,Inputs!$D$9,Inputs!$D$11)),IF(Inputs!$B$3="loglogistic",1/(1+(B100/CHOOSE(MATCH(Inputs!$B$3,{"weibull","lognormal","loglogistic"},0),Inputs!$F$7,Inputs!$F$9,Inputs!$F$11))^CHOOSE(MATCH(Inputs!$B$3,{"weibull","lognormal","loglogistic"},0),Inputs!$D$7,Inputs!$D$9,Inputs!$D$11)),1-NORM.S.DIST((LN(B100)-CHOOSE(MATCH(Inputs!$B$3,{"weibull","lognormal","loglogistic"},0),Inputs!$D$7,Inputs!$D$9,Inputs!$D$11))/CHOOSE(MATCH(Inputs!$B$3,{"weibull","lognormal","loglogistic"},0),Inputs!$F$7,Inputs!$F$9,Inputs!$F$11),TRUE))))</f>
        <v/>
      </c>
      <c r="D100">
        <f>IF(B100=0,1,IF(Inputs!$B$3="weibull",EXP(-(B100/CHOOSE(MATCH(Inputs!$B$3,{"weibull","lognormal","loglogistic"},0),Inputs!$F$8,Inputs!$F$10,Inputs!$F$12))^CHOOSE(MATCH(Inputs!$B$3,{"weibull","lognormal","loglogistic"},0),Inputs!$D$8,Inputs!$D$10,Inputs!$D$12)),IF(Inputs!$B$3="loglogistic",1/(1+(B100/CHOOSE(MATCH(Inputs!$B$3,{"weibull","lognormal","loglogistic"},0),Inputs!$F$8,Inputs!$F$10,Inputs!$F$12))^CHOOSE(MATCH(Inputs!$B$3,{"weibull","lognormal","loglogistic"},0),Inputs!$D$8,Inputs!$D$10,Inputs!$D$12)),1-NORM.S.DIST((LN(B100)-CHOOSE(MATCH(Inputs!$B$3,{"weibull","lognormal","loglogistic"},0),Inputs!$D$8,Inputs!$D$10,Inputs!$D$12))/CHOOSE(MATCH(Inputs!$B$3,{"weibull","lognormal","loglogistic"},0),Inputs!$F$8,Inputs!$F$10,Inputs!$F$12),TRUE))))</f>
        <v/>
      </c>
      <c r="E100">
        <f>(C99+C100)/2/12</f>
        <v/>
      </c>
      <c r="F100">
        <f>(D99+D100)/2/12</f>
        <v/>
      </c>
    </row>
    <row r="101">
      <c r="A101" t="n">
        <v>99</v>
      </c>
      <c r="B101">
        <f>A101/12</f>
        <v/>
      </c>
      <c r="C101">
        <f>IF(B101=0,1,IF(Inputs!$B$3="weibull",EXP(-(B101/CHOOSE(MATCH(Inputs!$B$3,{"weibull","lognormal","loglogistic"},0),Inputs!$F$7,Inputs!$F$9,Inputs!$F$11))^CHOOSE(MATCH(Inputs!$B$3,{"weibull","lognormal","loglogistic"},0),Inputs!$D$7,Inputs!$D$9,Inputs!$D$11)),IF(Inputs!$B$3="loglogistic",1/(1+(B101/CHOOSE(MATCH(Inputs!$B$3,{"weibull","lognormal","loglogistic"},0),Inputs!$F$7,Inputs!$F$9,Inputs!$F$11))^CHOOSE(MATCH(Inputs!$B$3,{"weibull","lognormal","loglogistic"},0),Inputs!$D$7,Inputs!$D$9,Inputs!$D$11)),1-NORM.S.DIST((LN(B101)-CHOOSE(MATCH(Inputs!$B$3,{"weibull","lognormal","loglogistic"},0),Inputs!$D$7,Inputs!$D$9,Inputs!$D$11))/CHOOSE(MATCH(Inputs!$B$3,{"weibull","lognormal","loglogistic"},0),Inputs!$F$7,Inputs!$F$9,Inputs!$F$11),TRUE))))</f>
        <v/>
      </c>
      <c r="D101">
        <f>IF(B101=0,1,IF(Inputs!$B$3="weibull",EXP(-(B101/CHOOSE(MATCH(Inputs!$B$3,{"weibull","lognormal","loglogistic"},0),Inputs!$F$8,Inputs!$F$10,Inputs!$F$12))^CHOOSE(MATCH(Inputs!$B$3,{"weibull","lognormal","loglogistic"},0),Inputs!$D$8,Inputs!$D$10,Inputs!$D$12)),IF(Inputs!$B$3="loglogistic",1/(1+(B101/CHOOSE(MATCH(Inputs!$B$3,{"weibull","lognormal","loglogistic"},0),Inputs!$F$8,Inputs!$F$10,Inputs!$F$12))^CHOOSE(MATCH(Inputs!$B$3,{"weibull","lognormal","loglogistic"},0),Inputs!$D$8,Inputs!$D$10,Inputs!$D$12)),1-NORM.S.DIST((LN(B101)-CHOOSE(MATCH(Inputs!$B$3,{"weibull","lognormal","loglogistic"},0),Inputs!$D$8,Inputs!$D$10,Inputs!$D$12))/CHOOSE(MATCH(Inputs!$B$3,{"weibull","lognormal","loglogistic"},0),Inputs!$F$8,Inputs!$F$10,Inputs!$F$12),TRUE))))</f>
        <v/>
      </c>
      <c r="E101">
        <f>(C100+C101)/2/12</f>
        <v/>
      </c>
      <c r="F101">
        <f>(D100+D101)/2/12</f>
        <v/>
      </c>
    </row>
    <row r="102">
      <c r="A102" t="n">
        <v>100</v>
      </c>
      <c r="B102">
        <f>A102/12</f>
        <v/>
      </c>
      <c r="C102">
        <f>IF(B102=0,1,IF(Inputs!$B$3="weibull",EXP(-(B102/CHOOSE(MATCH(Inputs!$B$3,{"weibull","lognormal","loglogistic"},0),Inputs!$F$7,Inputs!$F$9,Inputs!$F$11))^CHOOSE(MATCH(Inputs!$B$3,{"weibull","lognormal","loglogistic"},0),Inputs!$D$7,Inputs!$D$9,Inputs!$D$11)),IF(Inputs!$B$3="loglogistic",1/(1+(B102/CHOOSE(MATCH(Inputs!$B$3,{"weibull","lognormal","loglogistic"},0),Inputs!$F$7,Inputs!$F$9,Inputs!$F$11))^CHOOSE(MATCH(Inputs!$B$3,{"weibull","lognormal","loglogistic"},0),Inputs!$D$7,Inputs!$D$9,Inputs!$D$11)),1-NORM.S.DIST((LN(B102)-CHOOSE(MATCH(Inputs!$B$3,{"weibull","lognormal","loglogistic"},0),Inputs!$D$7,Inputs!$D$9,Inputs!$D$11))/CHOOSE(MATCH(Inputs!$B$3,{"weibull","lognormal","loglogistic"},0),Inputs!$F$7,Inputs!$F$9,Inputs!$F$11),TRUE))))</f>
        <v/>
      </c>
      <c r="D102">
        <f>IF(B102=0,1,IF(Inputs!$B$3="weibull",EXP(-(B102/CHOOSE(MATCH(Inputs!$B$3,{"weibull","lognormal","loglogistic"},0),Inputs!$F$8,Inputs!$F$10,Inputs!$F$12))^CHOOSE(MATCH(Inputs!$B$3,{"weibull","lognormal","loglogistic"},0),Inputs!$D$8,Inputs!$D$10,Inputs!$D$12)),IF(Inputs!$B$3="loglogistic",1/(1+(B102/CHOOSE(MATCH(Inputs!$B$3,{"weibull","lognormal","loglogistic"},0),Inputs!$F$8,Inputs!$F$10,Inputs!$F$12))^CHOOSE(MATCH(Inputs!$B$3,{"weibull","lognormal","loglogistic"},0),Inputs!$D$8,Inputs!$D$10,Inputs!$D$12)),1-NORM.S.DIST((LN(B102)-CHOOSE(MATCH(Inputs!$B$3,{"weibull","lognormal","loglogistic"},0),Inputs!$D$8,Inputs!$D$10,Inputs!$D$12))/CHOOSE(MATCH(Inputs!$B$3,{"weibull","lognormal","loglogistic"},0),Inputs!$F$8,Inputs!$F$10,Inputs!$F$12),TRUE))))</f>
        <v/>
      </c>
      <c r="E102">
        <f>(C101+C102)/2/12</f>
        <v/>
      </c>
      <c r="F102">
        <f>(D101+D102)/2/12</f>
        <v/>
      </c>
    </row>
    <row r="103">
      <c r="A103" t="n">
        <v>101</v>
      </c>
      <c r="B103">
        <f>A103/12</f>
        <v/>
      </c>
      <c r="C103">
        <f>IF(B103=0,1,IF(Inputs!$B$3="weibull",EXP(-(B103/CHOOSE(MATCH(Inputs!$B$3,{"weibull","lognormal","loglogistic"},0),Inputs!$F$7,Inputs!$F$9,Inputs!$F$11))^CHOOSE(MATCH(Inputs!$B$3,{"weibull","lognormal","loglogistic"},0),Inputs!$D$7,Inputs!$D$9,Inputs!$D$11)),IF(Inputs!$B$3="loglogistic",1/(1+(B103/CHOOSE(MATCH(Inputs!$B$3,{"weibull","lognormal","loglogistic"},0),Inputs!$F$7,Inputs!$F$9,Inputs!$F$11))^CHOOSE(MATCH(Inputs!$B$3,{"weibull","lognormal","loglogistic"},0),Inputs!$D$7,Inputs!$D$9,Inputs!$D$11)),1-NORM.S.DIST((LN(B103)-CHOOSE(MATCH(Inputs!$B$3,{"weibull","lognormal","loglogistic"},0),Inputs!$D$7,Inputs!$D$9,Inputs!$D$11))/CHOOSE(MATCH(Inputs!$B$3,{"weibull","lognormal","loglogistic"},0),Inputs!$F$7,Inputs!$F$9,Inputs!$F$11),TRUE))))</f>
        <v/>
      </c>
      <c r="D103">
        <f>IF(B103=0,1,IF(Inputs!$B$3="weibull",EXP(-(B103/CHOOSE(MATCH(Inputs!$B$3,{"weibull","lognormal","loglogistic"},0),Inputs!$F$8,Inputs!$F$10,Inputs!$F$12))^CHOOSE(MATCH(Inputs!$B$3,{"weibull","lognormal","loglogistic"},0),Inputs!$D$8,Inputs!$D$10,Inputs!$D$12)),IF(Inputs!$B$3="loglogistic",1/(1+(B103/CHOOSE(MATCH(Inputs!$B$3,{"weibull","lognormal","loglogistic"},0),Inputs!$F$8,Inputs!$F$10,Inputs!$F$12))^CHOOSE(MATCH(Inputs!$B$3,{"weibull","lognormal","loglogistic"},0),Inputs!$D$8,Inputs!$D$10,Inputs!$D$12)),1-NORM.S.DIST((LN(B103)-CHOOSE(MATCH(Inputs!$B$3,{"weibull","lognormal","loglogistic"},0),Inputs!$D$8,Inputs!$D$10,Inputs!$D$12))/CHOOSE(MATCH(Inputs!$B$3,{"weibull","lognormal","loglogistic"},0),Inputs!$F$8,Inputs!$F$10,Inputs!$F$12),TRUE))))</f>
        <v/>
      </c>
      <c r="E103">
        <f>(C102+C103)/2/12</f>
        <v/>
      </c>
      <c r="F103">
        <f>(D102+D103)/2/12</f>
        <v/>
      </c>
    </row>
    <row r="104">
      <c r="A104" t="n">
        <v>102</v>
      </c>
      <c r="B104">
        <f>A104/12</f>
        <v/>
      </c>
      <c r="C104">
        <f>IF(B104=0,1,IF(Inputs!$B$3="weibull",EXP(-(B104/CHOOSE(MATCH(Inputs!$B$3,{"weibull","lognormal","loglogistic"},0),Inputs!$F$7,Inputs!$F$9,Inputs!$F$11))^CHOOSE(MATCH(Inputs!$B$3,{"weibull","lognormal","loglogistic"},0),Inputs!$D$7,Inputs!$D$9,Inputs!$D$11)),IF(Inputs!$B$3="loglogistic",1/(1+(B104/CHOOSE(MATCH(Inputs!$B$3,{"weibull","lognormal","loglogistic"},0),Inputs!$F$7,Inputs!$F$9,Inputs!$F$11))^CHOOSE(MATCH(Inputs!$B$3,{"weibull","lognormal","loglogistic"},0),Inputs!$D$7,Inputs!$D$9,Inputs!$D$11)),1-NORM.S.DIST((LN(B104)-CHOOSE(MATCH(Inputs!$B$3,{"weibull","lognormal","loglogistic"},0),Inputs!$D$7,Inputs!$D$9,Inputs!$D$11))/CHOOSE(MATCH(Inputs!$B$3,{"weibull","lognormal","loglogistic"},0),Inputs!$F$7,Inputs!$F$9,Inputs!$F$11),TRUE))))</f>
        <v/>
      </c>
      <c r="D104">
        <f>IF(B104=0,1,IF(Inputs!$B$3="weibull",EXP(-(B104/CHOOSE(MATCH(Inputs!$B$3,{"weibull","lognormal","loglogistic"},0),Inputs!$F$8,Inputs!$F$10,Inputs!$F$12))^CHOOSE(MATCH(Inputs!$B$3,{"weibull","lognormal","loglogistic"},0),Inputs!$D$8,Inputs!$D$10,Inputs!$D$12)),IF(Inputs!$B$3="loglogistic",1/(1+(B104/CHOOSE(MATCH(Inputs!$B$3,{"weibull","lognormal","loglogistic"},0),Inputs!$F$8,Inputs!$F$10,Inputs!$F$12))^CHOOSE(MATCH(Inputs!$B$3,{"weibull","lognormal","loglogistic"},0),Inputs!$D$8,Inputs!$D$10,Inputs!$D$12)),1-NORM.S.DIST((LN(B104)-CHOOSE(MATCH(Inputs!$B$3,{"weibull","lognormal","loglogistic"},0),Inputs!$D$8,Inputs!$D$10,Inputs!$D$12))/CHOOSE(MATCH(Inputs!$B$3,{"weibull","lognormal","loglogistic"},0),Inputs!$F$8,Inputs!$F$10,Inputs!$F$12),TRUE))))</f>
        <v/>
      </c>
      <c r="E104">
        <f>(C103+C104)/2/12</f>
        <v/>
      </c>
      <c r="F104">
        <f>(D103+D104)/2/12</f>
        <v/>
      </c>
    </row>
    <row r="105">
      <c r="A105" t="n">
        <v>103</v>
      </c>
      <c r="B105">
        <f>A105/12</f>
        <v/>
      </c>
      <c r="C105">
        <f>IF(B105=0,1,IF(Inputs!$B$3="weibull",EXP(-(B105/CHOOSE(MATCH(Inputs!$B$3,{"weibull","lognormal","loglogistic"},0),Inputs!$F$7,Inputs!$F$9,Inputs!$F$11))^CHOOSE(MATCH(Inputs!$B$3,{"weibull","lognormal","loglogistic"},0),Inputs!$D$7,Inputs!$D$9,Inputs!$D$11)),IF(Inputs!$B$3="loglogistic",1/(1+(B105/CHOOSE(MATCH(Inputs!$B$3,{"weibull","lognormal","loglogistic"},0),Inputs!$F$7,Inputs!$F$9,Inputs!$F$11))^CHOOSE(MATCH(Inputs!$B$3,{"weibull","lognormal","loglogistic"},0),Inputs!$D$7,Inputs!$D$9,Inputs!$D$11)),1-NORM.S.DIST((LN(B105)-CHOOSE(MATCH(Inputs!$B$3,{"weibull","lognormal","loglogistic"},0),Inputs!$D$7,Inputs!$D$9,Inputs!$D$11))/CHOOSE(MATCH(Inputs!$B$3,{"weibull","lognormal","loglogistic"},0),Inputs!$F$7,Inputs!$F$9,Inputs!$F$11),TRUE))))</f>
        <v/>
      </c>
      <c r="D105">
        <f>IF(B105=0,1,IF(Inputs!$B$3="weibull",EXP(-(B105/CHOOSE(MATCH(Inputs!$B$3,{"weibull","lognormal","loglogistic"},0),Inputs!$F$8,Inputs!$F$10,Inputs!$F$12))^CHOOSE(MATCH(Inputs!$B$3,{"weibull","lognormal","loglogistic"},0),Inputs!$D$8,Inputs!$D$10,Inputs!$D$12)),IF(Inputs!$B$3="loglogistic",1/(1+(B105/CHOOSE(MATCH(Inputs!$B$3,{"weibull","lognormal","loglogistic"},0),Inputs!$F$8,Inputs!$F$10,Inputs!$F$12))^CHOOSE(MATCH(Inputs!$B$3,{"weibull","lognormal","loglogistic"},0),Inputs!$D$8,Inputs!$D$10,Inputs!$D$12)),1-NORM.S.DIST((LN(B105)-CHOOSE(MATCH(Inputs!$B$3,{"weibull","lognormal","loglogistic"},0),Inputs!$D$8,Inputs!$D$10,Inputs!$D$12))/CHOOSE(MATCH(Inputs!$B$3,{"weibull","lognormal","loglogistic"},0),Inputs!$F$8,Inputs!$F$10,Inputs!$F$12),TRUE))))</f>
        <v/>
      </c>
      <c r="E105">
        <f>(C104+C105)/2/12</f>
        <v/>
      </c>
      <c r="F105">
        <f>(D104+D105)/2/12</f>
        <v/>
      </c>
    </row>
    <row r="106">
      <c r="A106" t="n">
        <v>104</v>
      </c>
      <c r="B106">
        <f>A106/12</f>
        <v/>
      </c>
      <c r="C106">
        <f>IF(B106=0,1,IF(Inputs!$B$3="weibull",EXP(-(B106/CHOOSE(MATCH(Inputs!$B$3,{"weibull","lognormal","loglogistic"},0),Inputs!$F$7,Inputs!$F$9,Inputs!$F$11))^CHOOSE(MATCH(Inputs!$B$3,{"weibull","lognormal","loglogistic"},0),Inputs!$D$7,Inputs!$D$9,Inputs!$D$11)),IF(Inputs!$B$3="loglogistic",1/(1+(B106/CHOOSE(MATCH(Inputs!$B$3,{"weibull","lognormal","loglogistic"},0),Inputs!$F$7,Inputs!$F$9,Inputs!$F$11))^CHOOSE(MATCH(Inputs!$B$3,{"weibull","lognormal","loglogistic"},0),Inputs!$D$7,Inputs!$D$9,Inputs!$D$11)),1-NORM.S.DIST((LN(B106)-CHOOSE(MATCH(Inputs!$B$3,{"weibull","lognormal","loglogistic"},0),Inputs!$D$7,Inputs!$D$9,Inputs!$D$11))/CHOOSE(MATCH(Inputs!$B$3,{"weibull","lognormal","loglogistic"},0),Inputs!$F$7,Inputs!$F$9,Inputs!$F$11),TRUE))))</f>
        <v/>
      </c>
      <c r="D106">
        <f>IF(B106=0,1,IF(Inputs!$B$3="weibull",EXP(-(B106/CHOOSE(MATCH(Inputs!$B$3,{"weibull","lognormal","loglogistic"},0),Inputs!$F$8,Inputs!$F$10,Inputs!$F$12))^CHOOSE(MATCH(Inputs!$B$3,{"weibull","lognormal","loglogistic"},0),Inputs!$D$8,Inputs!$D$10,Inputs!$D$12)),IF(Inputs!$B$3="loglogistic",1/(1+(B106/CHOOSE(MATCH(Inputs!$B$3,{"weibull","lognormal","loglogistic"},0),Inputs!$F$8,Inputs!$F$10,Inputs!$F$12))^CHOOSE(MATCH(Inputs!$B$3,{"weibull","lognormal","loglogistic"},0),Inputs!$D$8,Inputs!$D$10,Inputs!$D$12)),1-NORM.S.DIST((LN(B106)-CHOOSE(MATCH(Inputs!$B$3,{"weibull","lognormal","loglogistic"},0),Inputs!$D$8,Inputs!$D$10,Inputs!$D$12))/CHOOSE(MATCH(Inputs!$B$3,{"weibull","lognormal","loglogistic"},0),Inputs!$F$8,Inputs!$F$10,Inputs!$F$12),TRUE))))</f>
        <v/>
      </c>
      <c r="E106">
        <f>(C105+C106)/2/12</f>
        <v/>
      </c>
      <c r="F106">
        <f>(D105+D106)/2/12</f>
        <v/>
      </c>
    </row>
    <row r="107">
      <c r="A107" t="n">
        <v>105</v>
      </c>
      <c r="B107">
        <f>A107/12</f>
        <v/>
      </c>
      <c r="C107">
        <f>IF(B107=0,1,IF(Inputs!$B$3="weibull",EXP(-(B107/CHOOSE(MATCH(Inputs!$B$3,{"weibull","lognormal","loglogistic"},0),Inputs!$F$7,Inputs!$F$9,Inputs!$F$11))^CHOOSE(MATCH(Inputs!$B$3,{"weibull","lognormal","loglogistic"},0),Inputs!$D$7,Inputs!$D$9,Inputs!$D$11)),IF(Inputs!$B$3="loglogistic",1/(1+(B107/CHOOSE(MATCH(Inputs!$B$3,{"weibull","lognormal","loglogistic"},0),Inputs!$F$7,Inputs!$F$9,Inputs!$F$11))^CHOOSE(MATCH(Inputs!$B$3,{"weibull","lognormal","loglogistic"},0),Inputs!$D$7,Inputs!$D$9,Inputs!$D$11)),1-NORM.S.DIST((LN(B107)-CHOOSE(MATCH(Inputs!$B$3,{"weibull","lognormal","loglogistic"},0),Inputs!$D$7,Inputs!$D$9,Inputs!$D$11))/CHOOSE(MATCH(Inputs!$B$3,{"weibull","lognormal","loglogistic"},0),Inputs!$F$7,Inputs!$F$9,Inputs!$F$11),TRUE))))</f>
        <v/>
      </c>
      <c r="D107">
        <f>IF(B107=0,1,IF(Inputs!$B$3="weibull",EXP(-(B107/CHOOSE(MATCH(Inputs!$B$3,{"weibull","lognormal","loglogistic"},0),Inputs!$F$8,Inputs!$F$10,Inputs!$F$12))^CHOOSE(MATCH(Inputs!$B$3,{"weibull","lognormal","loglogistic"},0),Inputs!$D$8,Inputs!$D$10,Inputs!$D$12)),IF(Inputs!$B$3="loglogistic",1/(1+(B107/CHOOSE(MATCH(Inputs!$B$3,{"weibull","lognormal","loglogistic"},0),Inputs!$F$8,Inputs!$F$10,Inputs!$F$12))^CHOOSE(MATCH(Inputs!$B$3,{"weibull","lognormal","loglogistic"},0),Inputs!$D$8,Inputs!$D$10,Inputs!$D$12)),1-NORM.S.DIST((LN(B107)-CHOOSE(MATCH(Inputs!$B$3,{"weibull","lognormal","loglogistic"},0),Inputs!$D$8,Inputs!$D$10,Inputs!$D$12))/CHOOSE(MATCH(Inputs!$B$3,{"weibull","lognormal","loglogistic"},0),Inputs!$F$8,Inputs!$F$10,Inputs!$F$12),TRUE))))</f>
        <v/>
      </c>
      <c r="E107">
        <f>(C106+C107)/2/12</f>
        <v/>
      </c>
      <c r="F107">
        <f>(D106+D107)/2/12</f>
        <v/>
      </c>
    </row>
    <row r="108">
      <c r="A108" t="n">
        <v>106</v>
      </c>
      <c r="B108">
        <f>A108/12</f>
        <v/>
      </c>
      <c r="C108">
        <f>IF(B108=0,1,IF(Inputs!$B$3="weibull",EXP(-(B108/CHOOSE(MATCH(Inputs!$B$3,{"weibull","lognormal","loglogistic"},0),Inputs!$F$7,Inputs!$F$9,Inputs!$F$11))^CHOOSE(MATCH(Inputs!$B$3,{"weibull","lognormal","loglogistic"},0),Inputs!$D$7,Inputs!$D$9,Inputs!$D$11)),IF(Inputs!$B$3="loglogistic",1/(1+(B108/CHOOSE(MATCH(Inputs!$B$3,{"weibull","lognormal","loglogistic"},0),Inputs!$F$7,Inputs!$F$9,Inputs!$F$11))^CHOOSE(MATCH(Inputs!$B$3,{"weibull","lognormal","loglogistic"},0),Inputs!$D$7,Inputs!$D$9,Inputs!$D$11)),1-NORM.S.DIST((LN(B108)-CHOOSE(MATCH(Inputs!$B$3,{"weibull","lognormal","loglogistic"},0),Inputs!$D$7,Inputs!$D$9,Inputs!$D$11))/CHOOSE(MATCH(Inputs!$B$3,{"weibull","lognormal","loglogistic"},0),Inputs!$F$7,Inputs!$F$9,Inputs!$F$11),TRUE))))</f>
        <v/>
      </c>
      <c r="D108">
        <f>IF(B108=0,1,IF(Inputs!$B$3="weibull",EXP(-(B108/CHOOSE(MATCH(Inputs!$B$3,{"weibull","lognormal","loglogistic"},0),Inputs!$F$8,Inputs!$F$10,Inputs!$F$12))^CHOOSE(MATCH(Inputs!$B$3,{"weibull","lognormal","loglogistic"},0),Inputs!$D$8,Inputs!$D$10,Inputs!$D$12)),IF(Inputs!$B$3="loglogistic",1/(1+(B108/CHOOSE(MATCH(Inputs!$B$3,{"weibull","lognormal","loglogistic"},0),Inputs!$F$8,Inputs!$F$10,Inputs!$F$12))^CHOOSE(MATCH(Inputs!$B$3,{"weibull","lognormal","loglogistic"},0),Inputs!$D$8,Inputs!$D$10,Inputs!$D$12)),1-NORM.S.DIST((LN(B108)-CHOOSE(MATCH(Inputs!$B$3,{"weibull","lognormal","loglogistic"},0),Inputs!$D$8,Inputs!$D$10,Inputs!$D$12))/CHOOSE(MATCH(Inputs!$B$3,{"weibull","lognormal","loglogistic"},0),Inputs!$F$8,Inputs!$F$10,Inputs!$F$12),TRUE))))</f>
        <v/>
      </c>
      <c r="E108">
        <f>(C107+C108)/2/12</f>
        <v/>
      </c>
      <c r="F108">
        <f>(D107+D108)/2/12</f>
        <v/>
      </c>
    </row>
    <row r="109">
      <c r="A109" t="n">
        <v>107</v>
      </c>
      <c r="B109">
        <f>A109/12</f>
        <v/>
      </c>
      <c r="C109">
        <f>IF(B109=0,1,IF(Inputs!$B$3="weibull",EXP(-(B109/CHOOSE(MATCH(Inputs!$B$3,{"weibull","lognormal","loglogistic"},0),Inputs!$F$7,Inputs!$F$9,Inputs!$F$11))^CHOOSE(MATCH(Inputs!$B$3,{"weibull","lognormal","loglogistic"},0),Inputs!$D$7,Inputs!$D$9,Inputs!$D$11)),IF(Inputs!$B$3="loglogistic",1/(1+(B109/CHOOSE(MATCH(Inputs!$B$3,{"weibull","lognormal","loglogistic"},0),Inputs!$F$7,Inputs!$F$9,Inputs!$F$11))^CHOOSE(MATCH(Inputs!$B$3,{"weibull","lognormal","loglogistic"},0),Inputs!$D$7,Inputs!$D$9,Inputs!$D$11)),1-NORM.S.DIST((LN(B109)-CHOOSE(MATCH(Inputs!$B$3,{"weibull","lognormal","loglogistic"},0),Inputs!$D$7,Inputs!$D$9,Inputs!$D$11))/CHOOSE(MATCH(Inputs!$B$3,{"weibull","lognormal","loglogistic"},0),Inputs!$F$7,Inputs!$F$9,Inputs!$F$11),TRUE))))</f>
        <v/>
      </c>
      <c r="D109">
        <f>IF(B109=0,1,IF(Inputs!$B$3="weibull",EXP(-(B109/CHOOSE(MATCH(Inputs!$B$3,{"weibull","lognormal","loglogistic"},0),Inputs!$F$8,Inputs!$F$10,Inputs!$F$12))^CHOOSE(MATCH(Inputs!$B$3,{"weibull","lognormal","loglogistic"},0),Inputs!$D$8,Inputs!$D$10,Inputs!$D$12)),IF(Inputs!$B$3="loglogistic",1/(1+(B109/CHOOSE(MATCH(Inputs!$B$3,{"weibull","lognormal","loglogistic"},0),Inputs!$F$8,Inputs!$F$10,Inputs!$F$12))^CHOOSE(MATCH(Inputs!$B$3,{"weibull","lognormal","loglogistic"},0),Inputs!$D$8,Inputs!$D$10,Inputs!$D$12)),1-NORM.S.DIST((LN(B109)-CHOOSE(MATCH(Inputs!$B$3,{"weibull","lognormal","loglogistic"},0),Inputs!$D$8,Inputs!$D$10,Inputs!$D$12))/CHOOSE(MATCH(Inputs!$B$3,{"weibull","lognormal","loglogistic"},0),Inputs!$F$8,Inputs!$F$10,Inputs!$F$12),TRUE))))</f>
        <v/>
      </c>
      <c r="E109">
        <f>(C108+C109)/2/12</f>
        <v/>
      </c>
      <c r="F109">
        <f>(D108+D109)/2/12</f>
        <v/>
      </c>
    </row>
    <row r="110">
      <c r="A110" t="n">
        <v>108</v>
      </c>
      <c r="B110">
        <f>A110/12</f>
        <v/>
      </c>
      <c r="C110">
        <f>IF(B110=0,1,IF(Inputs!$B$3="weibull",EXP(-(B110/CHOOSE(MATCH(Inputs!$B$3,{"weibull","lognormal","loglogistic"},0),Inputs!$F$7,Inputs!$F$9,Inputs!$F$11))^CHOOSE(MATCH(Inputs!$B$3,{"weibull","lognormal","loglogistic"},0),Inputs!$D$7,Inputs!$D$9,Inputs!$D$11)),IF(Inputs!$B$3="loglogistic",1/(1+(B110/CHOOSE(MATCH(Inputs!$B$3,{"weibull","lognormal","loglogistic"},0),Inputs!$F$7,Inputs!$F$9,Inputs!$F$11))^CHOOSE(MATCH(Inputs!$B$3,{"weibull","lognormal","loglogistic"},0),Inputs!$D$7,Inputs!$D$9,Inputs!$D$11)),1-NORM.S.DIST((LN(B110)-CHOOSE(MATCH(Inputs!$B$3,{"weibull","lognormal","loglogistic"},0),Inputs!$D$7,Inputs!$D$9,Inputs!$D$11))/CHOOSE(MATCH(Inputs!$B$3,{"weibull","lognormal","loglogistic"},0),Inputs!$F$7,Inputs!$F$9,Inputs!$F$11),TRUE))))</f>
        <v/>
      </c>
      <c r="D110">
        <f>IF(B110=0,1,IF(Inputs!$B$3="weibull",EXP(-(B110/CHOOSE(MATCH(Inputs!$B$3,{"weibull","lognormal","loglogistic"},0),Inputs!$F$8,Inputs!$F$10,Inputs!$F$12))^CHOOSE(MATCH(Inputs!$B$3,{"weibull","lognormal","loglogistic"},0),Inputs!$D$8,Inputs!$D$10,Inputs!$D$12)),IF(Inputs!$B$3="loglogistic",1/(1+(B110/CHOOSE(MATCH(Inputs!$B$3,{"weibull","lognormal","loglogistic"},0),Inputs!$F$8,Inputs!$F$10,Inputs!$F$12))^CHOOSE(MATCH(Inputs!$B$3,{"weibull","lognormal","loglogistic"},0),Inputs!$D$8,Inputs!$D$10,Inputs!$D$12)),1-NORM.S.DIST((LN(B110)-CHOOSE(MATCH(Inputs!$B$3,{"weibull","lognormal","loglogistic"},0),Inputs!$D$8,Inputs!$D$10,Inputs!$D$12))/CHOOSE(MATCH(Inputs!$B$3,{"weibull","lognormal","loglogistic"},0),Inputs!$F$8,Inputs!$F$10,Inputs!$F$12),TRUE))))</f>
        <v/>
      </c>
      <c r="E110">
        <f>(C109+C110)/2/12</f>
        <v/>
      </c>
      <c r="F110">
        <f>(D109+D110)/2/12</f>
        <v/>
      </c>
    </row>
    <row r="111">
      <c r="A111" t="n">
        <v>109</v>
      </c>
      <c r="B111">
        <f>A111/12</f>
        <v/>
      </c>
      <c r="C111">
        <f>IF(B111=0,1,IF(Inputs!$B$3="weibull",EXP(-(B111/CHOOSE(MATCH(Inputs!$B$3,{"weibull","lognormal","loglogistic"},0),Inputs!$F$7,Inputs!$F$9,Inputs!$F$11))^CHOOSE(MATCH(Inputs!$B$3,{"weibull","lognormal","loglogistic"},0),Inputs!$D$7,Inputs!$D$9,Inputs!$D$11)),IF(Inputs!$B$3="loglogistic",1/(1+(B111/CHOOSE(MATCH(Inputs!$B$3,{"weibull","lognormal","loglogistic"},0),Inputs!$F$7,Inputs!$F$9,Inputs!$F$11))^CHOOSE(MATCH(Inputs!$B$3,{"weibull","lognormal","loglogistic"},0),Inputs!$D$7,Inputs!$D$9,Inputs!$D$11)),1-NORM.S.DIST((LN(B111)-CHOOSE(MATCH(Inputs!$B$3,{"weibull","lognormal","loglogistic"},0),Inputs!$D$7,Inputs!$D$9,Inputs!$D$11))/CHOOSE(MATCH(Inputs!$B$3,{"weibull","lognormal","loglogistic"},0),Inputs!$F$7,Inputs!$F$9,Inputs!$F$11),TRUE))))</f>
        <v/>
      </c>
      <c r="D111">
        <f>IF(B111=0,1,IF(Inputs!$B$3="weibull",EXP(-(B111/CHOOSE(MATCH(Inputs!$B$3,{"weibull","lognormal","loglogistic"},0),Inputs!$F$8,Inputs!$F$10,Inputs!$F$12))^CHOOSE(MATCH(Inputs!$B$3,{"weibull","lognormal","loglogistic"},0),Inputs!$D$8,Inputs!$D$10,Inputs!$D$12)),IF(Inputs!$B$3="loglogistic",1/(1+(B111/CHOOSE(MATCH(Inputs!$B$3,{"weibull","lognormal","loglogistic"},0),Inputs!$F$8,Inputs!$F$10,Inputs!$F$12))^CHOOSE(MATCH(Inputs!$B$3,{"weibull","lognormal","loglogistic"},0),Inputs!$D$8,Inputs!$D$10,Inputs!$D$12)),1-NORM.S.DIST((LN(B111)-CHOOSE(MATCH(Inputs!$B$3,{"weibull","lognormal","loglogistic"},0),Inputs!$D$8,Inputs!$D$10,Inputs!$D$12))/CHOOSE(MATCH(Inputs!$B$3,{"weibull","lognormal","loglogistic"},0),Inputs!$F$8,Inputs!$F$10,Inputs!$F$12),TRUE))))</f>
        <v/>
      </c>
      <c r="E111">
        <f>(C110+C111)/2/12</f>
        <v/>
      </c>
      <c r="F111">
        <f>(D110+D111)/2/12</f>
        <v/>
      </c>
    </row>
    <row r="112">
      <c r="A112" t="n">
        <v>110</v>
      </c>
      <c r="B112">
        <f>A112/12</f>
        <v/>
      </c>
      <c r="C112">
        <f>IF(B112=0,1,IF(Inputs!$B$3="weibull",EXP(-(B112/CHOOSE(MATCH(Inputs!$B$3,{"weibull","lognormal","loglogistic"},0),Inputs!$F$7,Inputs!$F$9,Inputs!$F$11))^CHOOSE(MATCH(Inputs!$B$3,{"weibull","lognormal","loglogistic"},0),Inputs!$D$7,Inputs!$D$9,Inputs!$D$11)),IF(Inputs!$B$3="loglogistic",1/(1+(B112/CHOOSE(MATCH(Inputs!$B$3,{"weibull","lognormal","loglogistic"},0),Inputs!$F$7,Inputs!$F$9,Inputs!$F$11))^CHOOSE(MATCH(Inputs!$B$3,{"weibull","lognormal","loglogistic"},0),Inputs!$D$7,Inputs!$D$9,Inputs!$D$11)),1-NORM.S.DIST((LN(B112)-CHOOSE(MATCH(Inputs!$B$3,{"weibull","lognormal","loglogistic"},0),Inputs!$D$7,Inputs!$D$9,Inputs!$D$11))/CHOOSE(MATCH(Inputs!$B$3,{"weibull","lognormal","loglogistic"},0),Inputs!$F$7,Inputs!$F$9,Inputs!$F$11),TRUE))))</f>
        <v/>
      </c>
      <c r="D112">
        <f>IF(B112=0,1,IF(Inputs!$B$3="weibull",EXP(-(B112/CHOOSE(MATCH(Inputs!$B$3,{"weibull","lognormal","loglogistic"},0),Inputs!$F$8,Inputs!$F$10,Inputs!$F$12))^CHOOSE(MATCH(Inputs!$B$3,{"weibull","lognormal","loglogistic"},0),Inputs!$D$8,Inputs!$D$10,Inputs!$D$12)),IF(Inputs!$B$3="loglogistic",1/(1+(B112/CHOOSE(MATCH(Inputs!$B$3,{"weibull","lognormal","loglogistic"},0),Inputs!$F$8,Inputs!$F$10,Inputs!$F$12))^CHOOSE(MATCH(Inputs!$B$3,{"weibull","lognormal","loglogistic"},0),Inputs!$D$8,Inputs!$D$10,Inputs!$D$12)),1-NORM.S.DIST((LN(B112)-CHOOSE(MATCH(Inputs!$B$3,{"weibull","lognormal","loglogistic"},0),Inputs!$D$8,Inputs!$D$10,Inputs!$D$12))/CHOOSE(MATCH(Inputs!$B$3,{"weibull","lognormal","loglogistic"},0),Inputs!$F$8,Inputs!$F$10,Inputs!$F$12),TRUE))))</f>
        <v/>
      </c>
      <c r="E112">
        <f>(C111+C112)/2/12</f>
        <v/>
      </c>
      <c r="F112">
        <f>(D111+D112)/2/12</f>
        <v/>
      </c>
    </row>
    <row r="113">
      <c r="A113" t="n">
        <v>111</v>
      </c>
      <c r="B113">
        <f>A113/12</f>
        <v/>
      </c>
      <c r="C113">
        <f>IF(B113=0,1,IF(Inputs!$B$3="weibull",EXP(-(B113/CHOOSE(MATCH(Inputs!$B$3,{"weibull","lognormal","loglogistic"},0),Inputs!$F$7,Inputs!$F$9,Inputs!$F$11))^CHOOSE(MATCH(Inputs!$B$3,{"weibull","lognormal","loglogistic"},0),Inputs!$D$7,Inputs!$D$9,Inputs!$D$11)),IF(Inputs!$B$3="loglogistic",1/(1+(B113/CHOOSE(MATCH(Inputs!$B$3,{"weibull","lognormal","loglogistic"},0),Inputs!$F$7,Inputs!$F$9,Inputs!$F$11))^CHOOSE(MATCH(Inputs!$B$3,{"weibull","lognormal","loglogistic"},0),Inputs!$D$7,Inputs!$D$9,Inputs!$D$11)),1-NORM.S.DIST((LN(B113)-CHOOSE(MATCH(Inputs!$B$3,{"weibull","lognormal","loglogistic"},0),Inputs!$D$7,Inputs!$D$9,Inputs!$D$11))/CHOOSE(MATCH(Inputs!$B$3,{"weibull","lognormal","loglogistic"},0),Inputs!$F$7,Inputs!$F$9,Inputs!$F$11),TRUE))))</f>
        <v/>
      </c>
      <c r="D113">
        <f>IF(B113=0,1,IF(Inputs!$B$3="weibull",EXP(-(B113/CHOOSE(MATCH(Inputs!$B$3,{"weibull","lognormal","loglogistic"},0),Inputs!$F$8,Inputs!$F$10,Inputs!$F$12))^CHOOSE(MATCH(Inputs!$B$3,{"weibull","lognormal","loglogistic"},0),Inputs!$D$8,Inputs!$D$10,Inputs!$D$12)),IF(Inputs!$B$3="loglogistic",1/(1+(B113/CHOOSE(MATCH(Inputs!$B$3,{"weibull","lognormal","loglogistic"},0),Inputs!$F$8,Inputs!$F$10,Inputs!$F$12))^CHOOSE(MATCH(Inputs!$B$3,{"weibull","lognormal","loglogistic"},0),Inputs!$D$8,Inputs!$D$10,Inputs!$D$12)),1-NORM.S.DIST((LN(B113)-CHOOSE(MATCH(Inputs!$B$3,{"weibull","lognormal","loglogistic"},0),Inputs!$D$8,Inputs!$D$10,Inputs!$D$12))/CHOOSE(MATCH(Inputs!$B$3,{"weibull","lognormal","loglogistic"},0),Inputs!$F$8,Inputs!$F$10,Inputs!$F$12),TRUE))))</f>
        <v/>
      </c>
      <c r="E113">
        <f>(C112+C113)/2/12</f>
        <v/>
      </c>
      <c r="F113">
        <f>(D112+D113)/2/12</f>
        <v/>
      </c>
    </row>
    <row r="114">
      <c r="A114" t="n">
        <v>112</v>
      </c>
      <c r="B114">
        <f>A114/12</f>
        <v/>
      </c>
      <c r="C114">
        <f>IF(B114=0,1,IF(Inputs!$B$3="weibull",EXP(-(B114/CHOOSE(MATCH(Inputs!$B$3,{"weibull","lognormal","loglogistic"},0),Inputs!$F$7,Inputs!$F$9,Inputs!$F$11))^CHOOSE(MATCH(Inputs!$B$3,{"weibull","lognormal","loglogistic"},0),Inputs!$D$7,Inputs!$D$9,Inputs!$D$11)),IF(Inputs!$B$3="loglogistic",1/(1+(B114/CHOOSE(MATCH(Inputs!$B$3,{"weibull","lognormal","loglogistic"},0),Inputs!$F$7,Inputs!$F$9,Inputs!$F$11))^CHOOSE(MATCH(Inputs!$B$3,{"weibull","lognormal","loglogistic"},0),Inputs!$D$7,Inputs!$D$9,Inputs!$D$11)),1-NORM.S.DIST((LN(B114)-CHOOSE(MATCH(Inputs!$B$3,{"weibull","lognormal","loglogistic"},0),Inputs!$D$7,Inputs!$D$9,Inputs!$D$11))/CHOOSE(MATCH(Inputs!$B$3,{"weibull","lognormal","loglogistic"},0),Inputs!$F$7,Inputs!$F$9,Inputs!$F$11),TRUE))))</f>
        <v/>
      </c>
      <c r="D114">
        <f>IF(B114=0,1,IF(Inputs!$B$3="weibull",EXP(-(B114/CHOOSE(MATCH(Inputs!$B$3,{"weibull","lognormal","loglogistic"},0),Inputs!$F$8,Inputs!$F$10,Inputs!$F$12))^CHOOSE(MATCH(Inputs!$B$3,{"weibull","lognormal","loglogistic"},0),Inputs!$D$8,Inputs!$D$10,Inputs!$D$12)),IF(Inputs!$B$3="loglogistic",1/(1+(B114/CHOOSE(MATCH(Inputs!$B$3,{"weibull","lognormal","loglogistic"},0),Inputs!$F$8,Inputs!$F$10,Inputs!$F$12))^CHOOSE(MATCH(Inputs!$B$3,{"weibull","lognormal","loglogistic"},0),Inputs!$D$8,Inputs!$D$10,Inputs!$D$12)),1-NORM.S.DIST((LN(B114)-CHOOSE(MATCH(Inputs!$B$3,{"weibull","lognormal","loglogistic"},0),Inputs!$D$8,Inputs!$D$10,Inputs!$D$12))/CHOOSE(MATCH(Inputs!$B$3,{"weibull","lognormal","loglogistic"},0),Inputs!$F$8,Inputs!$F$10,Inputs!$F$12),TRUE))))</f>
        <v/>
      </c>
      <c r="E114">
        <f>(C113+C114)/2/12</f>
        <v/>
      </c>
      <c r="F114">
        <f>(D113+D114)/2/12</f>
        <v/>
      </c>
    </row>
    <row r="115">
      <c r="A115" t="n">
        <v>113</v>
      </c>
      <c r="B115">
        <f>A115/12</f>
        <v/>
      </c>
      <c r="C115">
        <f>IF(B115=0,1,IF(Inputs!$B$3="weibull",EXP(-(B115/CHOOSE(MATCH(Inputs!$B$3,{"weibull","lognormal","loglogistic"},0),Inputs!$F$7,Inputs!$F$9,Inputs!$F$11))^CHOOSE(MATCH(Inputs!$B$3,{"weibull","lognormal","loglogistic"},0),Inputs!$D$7,Inputs!$D$9,Inputs!$D$11)),IF(Inputs!$B$3="loglogistic",1/(1+(B115/CHOOSE(MATCH(Inputs!$B$3,{"weibull","lognormal","loglogistic"},0),Inputs!$F$7,Inputs!$F$9,Inputs!$F$11))^CHOOSE(MATCH(Inputs!$B$3,{"weibull","lognormal","loglogistic"},0),Inputs!$D$7,Inputs!$D$9,Inputs!$D$11)),1-NORM.S.DIST((LN(B115)-CHOOSE(MATCH(Inputs!$B$3,{"weibull","lognormal","loglogistic"},0),Inputs!$D$7,Inputs!$D$9,Inputs!$D$11))/CHOOSE(MATCH(Inputs!$B$3,{"weibull","lognormal","loglogistic"},0),Inputs!$F$7,Inputs!$F$9,Inputs!$F$11),TRUE))))</f>
        <v/>
      </c>
      <c r="D115">
        <f>IF(B115=0,1,IF(Inputs!$B$3="weibull",EXP(-(B115/CHOOSE(MATCH(Inputs!$B$3,{"weibull","lognormal","loglogistic"},0),Inputs!$F$8,Inputs!$F$10,Inputs!$F$12))^CHOOSE(MATCH(Inputs!$B$3,{"weibull","lognormal","loglogistic"},0),Inputs!$D$8,Inputs!$D$10,Inputs!$D$12)),IF(Inputs!$B$3="loglogistic",1/(1+(B115/CHOOSE(MATCH(Inputs!$B$3,{"weibull","lognormal","loglogistic"},0),Inputs!$F$8,Inputs!$F$10,Inputs!$F$12))^CHOOSE(MATCH(Inputs!$B$3,{"weibull","lognormal","loglogistic"},0),Inputs!$D$8,Inputs!$D$10,Inputs!$D$12)),1-NORM.S.DIST((LN(B115)-CHOOSE(MATCH(Inputs!$B$3,{"weibull","lognormal","loglogistic"},0),Inputs!$D$8,Inputs!$D$10,Inputs!$D$12))/CHOOSE(MATCH(Inputs!$B$3,{"weibull","lognormal","loglogistic"},0),Inputs!$F$8,Inputs!$F$10,Inputs!$F$12),TRUE))))</f>
        <v/>
      </c>
      <c r="E115">
        <f>(C114+C115)/2/12</f>
        <v/>
      </c>
      <c r="F115">
        <f>(D114+D115)/2/12</f>
        <v/>
      </c>
    </row>
    <row r="116">
      <c r="A116" t="n">
        <v>114</v>
      </c>
      <c r="B116">
        <f>A116/12</f>
        <v/>
      </c>
      <c r="C116">
        <f>IF(B116=0,1,IF(Inputs!$B$3="weibull",EXP(-(B116/CHOOSE(MATCH(Inputs!$B$3,{"weibull","lognormal","loglogistic"},0),Inputs!$F$7,Inputs!$F$9,Inputs!$F$11))^CHOOSE(MATCH(Inputs!$B$3,{"weibull","lognormal","loglogistic"},0),Inputs!$D$7,Inputs!$D$9,Inputs!$D$11)),IF(Inputs!$B$3="loglogistic",1/(1+(B116/CHOOSE(MATCH(Inputs!$B$3,{"weibull","lognormal","loglogistic"},0),Inputs!$F$7,Inputs!$F$9,Inputs!$F$11))^CHOOSE(MATCH(Inputs!$B$3,{"weibull","lognormal","loglogistic"},0),Inputs!$D$7,Inputs!$D$9,Inputs!$D$11)),1-NORM.S.DIST((LN(B116)-CHOOSE(MATCH(Inputs!$B$3,{"weibull","lognormal","loglogistic"},0),Inputs!$D$7,Inputs!$D$9,Inputs!$D$11))/CHOOSE(MATCH(Inputs!$B$3,{"weibull","lognormal","loglogistic"},0),Inputs!$F$7,Inputs!$F$9,Inputs!$F$11),TRUE))))</f>
        <v/>
      </c>
      <c r="D116">
        <f>IF(B116=0,1,IF(Inputs!$B$3="weibull",EXP(-(B116/CHOOSE(MATCH(Inputs!$B$3,{"weibull","lognormal","loglogistic"},0),Inputs!$F$8,Inputs!$F$10,Inputs!$F$12))^CHOOSE(MATCH(Inputs!$B$3,{"weibull","lognormal","loglogistic"},0),Inputs!$D$8,Inputs!$D$10,Inputs!$D$12)),IF(Inputs!$B$3="loglogistic",1/(1+(B116/CHOOSE(MATCH(Inputs!$B$3,{"weibull","lognormal","loglogistic"},0),Inputs!$F$8,Inputs!$F$10,Inputs!$F$12))^CHOOSE(MATCH(Inputs!$B$3,{"weibull","lognormal","loglogistic"},0),Inputs!$D$8,Inputs!$D$10,Inputs!$D$12)),1-NORM.S.DIST((LN(B116)-CHOOSE(MATCH(Inputs!$B$3,{"weibull","lognormal","loglogistic"},0),Inputs!$D$8,Inputs!$D$10,Inputs!$D$12))/CHOOSE(MATCH(Inputs!$B$3,{"weibull","lognormal","loglogistic"},0),Inputs!$F$8,Inputs!$F$10,Inputs!$F$12),TRUE))))</f>
        <v/>
      </c>
      <c r="E116">
        <f>(C115+C116)/2/12</f>
        <v/>
      </c>
      <c r="F116">
        <f>(D115+D116)/2/12</f>
        <v/>
      </c>
    </row>
    <row r="117">
      <c r="A117" t="n">
        <v>115</v>
      </c>
      <c r="B117">
        <f>A117/12</f>
        <v/>
      </c>
      <c r="C117">
        <f>IF(B117=0,1,IF(Inputs!$B$3="weibull",EXP(-(B117/CHOOSE(MATCH(Inputs!$B$3,{"weibull","lognormal","loglogistic"},0),Inputs!$F$7,Inputs!$F$9,Inputs!$F$11))^CHOOSE(MATCH(Inputs!$B$3,{"weibull","lognormal","loglogistic"},0),Inputs!$D$7,Inputs!$D$9,Inputs!$D$11)),IF(Inputs!$B$3="loglogistic",1/(1+(B117/CHOOSE(MATCH(Inputs!$B$3,{"weibull","lognormal","loglogistic"},0),Inputs!$F$7,Inputs!$F$9,Inputs!$F$11))^CHOOSE(MATCH(Inputs!$B$3,{"weibull","lognormal","loglogistic"},0),Inputs!$D$7,Inputs!$D$9,Inputs!$D$11)),1-NORM.S.DIST((LN(B117)-CHOOSE(MATCH(Inputs!$B$3,{"weibull","lognormal","loglogistic"},0),Inputs!$D$7,Inputs!$D$9,Inputs!$D$11))/CHOOSE(MATCH(Inputs!$B$3,{"weibull","lognormal","loglogistic"},0),Inputs!$F$7,Inputs!$F$9,Inputs!$F$11),TRUE))))</f>
        <v/>
      </c>
      <c r="D117">
        <f>IF(B117=0,1,IF(Inputs!$B$3="weibull",EXP(-(B117/CHOOSE(MATCH(Inputs!$B$3,{"weibull","lognormal","loglogistic"},0),Inputs!$F$8,Inputs!$F$10,Inputs!$F$12))^CHOOSE(MATCH(Inputs!$B$3,{"weibull","lognormal","loglogistic"},0),Inputs!$D$8,Inputs!$D$10,Inputs!$D$12)),IF(Inputs!$B$3="loglogistic",1/(1+(B117/CHOOSE(MATCH(Inputs!$B$3,{"weibull","lognormal","loglogistic"},0),Inputs!$F$8,Inputs!$F$10,Inputs!$F$12))^CHOOSE(MATCH(Inputs!$B$3,{"weibull","lognormal","loglogistic"},0),Inputs!$D$8,Inputs!$D$10,Inputs!$D$12)),1-NORM.S.DIST((LN(B117)-CHOOSE(MATCH(Inputs!$B$3,{"weibull","lognormal","loglogistic"},0),Inputs!$D$8,Inputs!$D$10,Inputs!$D$12))/CHOOSE(MATCH(Inputs!$B$3,{"weibull","lognormal","loglogistic"},0),Inputs!$F$8,Inputs!$F$10,Inputs!$F$12),TRUE))))</f>
        <v/>
      </c>
      <c r="E117">
        <f>(C116+C117)/2/12</f>
        <v/>
      </c>
      <c r="F117">
        <f>(D116+D117)/2/12</f>
        <v/>
      </c>
    </row>
    <row r="118">
      <c r="A118" t="n">
        <v>116</v>
      </c>
      <c r="B118">
        <f>A118/12</f>
        <v/>
      </c>
      <c r="C118">
        <f>IF(B118=0,1,IF(Inputs!$B$3="weibull",EXP(-(B118/CHOOSE(MATCH(Inputs!$B$3,{"weibull","lognormal","loglogistic"},0),Inputs!$F$7,Inputs!$F$9,Inputs!$F$11))^CHOOSE(MATCH(Inputs!$B$3,{"weibull","lognormal","loglogistic"},0),Inputs!$D$7,Inputs!$D$9,Inputs!$D$11)),IF(Inputs!$B$3="loglogistic",1/(1+(B118/CHOOSE(MATCH(Inputs!$B$3,{"weibull","lognormal","loglogistic"},0),Inputs!$F$7,Inputs!$F$9,Inputs!$F$11))^CHOOSE(MATCH(Inputs!$B$3,{"weibull","lognormal","loglogistic"},0),Inputs!$D$7,Inputs!$D$9,Inputs!$D$11)),1-NORM.S.DIST((LN(B118)-CHOOSE(MATCH(Inputs!$B$3,{"weibull","lognormal","loglogistic"},0),Inputs!$D$7,Inputs!$D$9,Inputs!$D$11))/CHOOSE(MATCH(Inputs!$B$3,{"weibull","lognormal","loglogistic"},0),Inputs!$F$7,Inputs!$F$9,Inputs!$F$11),TRUE))))</f>
        <v/>
      </c>
      <c r="D118">
        <f>IF(B118=0,1,IF(Inputs!$B$3="weibull",EXP(-(B118/CHOOSE(MATCH(Inputs!$B$3,{"weibull","lognormal","loglogistic"},0),Inputs!$F$8,Inputs!$F$10,Inputs!$F$12))^CHOOSE(MATCH(Inputs!$B$3,{"weibull","lognormal","loglogistic"},0),Inputs!$D$8,Inputs!$D$10,Inputs!$D$12)),IF(Inputs!$B$3="loglogistic",1/(1+(B118/CHOOSE(MATCH(Inputs!$B$3,{"weibull","lognormal","loglogistic"},0),Inputs!$F$8,Inputs!$F$10,Inputs!$F$12))^CHOOSE(MATCH(Inputs!$B$3,{"weibull","lognormal","loglogistic"},0),Inputs!$D$8,Inputs!$D$10,Inputs!$D$12)),1-NORM.S.DIST((LN(B118)-CHOOSE(MATCH(Inputs!$B$3,{"weibull","lognormal","loglogistic"},0),Inputs!$D$8,Inputs!$D$10,Inputs!$D$12))/CHOOSE(MATCH(Inputs!$B$3,{"weibull","lognormal","loglogistic"},0),Inputs!$F$8,Inputs!$F$10,Inputs!$F$12),TRUE))))</f>
        <v/>
      </c>
      <c r="E118">
        <f>(C117+C118)/2/12</f>
        <v/>
      </c>
      <c r="F118">
        <f>(D117+D118)/2/12</f>
        <v/>
      </c>
    </row>
    <row r="119">
      <c r="A119" t="n">
        <v>117</v>
      </c>
      <c r="B119">
        <f>A119/12</f>
        <v/>
      </c>
      <c r="C119">
        <f>IF(B119=0,1,IF(Inputs!$B$3="weibull",EXP(-(B119/CHOOSE(MATCH(Inputs!$B$3,{"weibull","lognormal","loglogistic"},0),Inputs!$F$7,Inputs!$F$9,Inputs!$F$11))^CHOOSE(MATCH(Inputs!$B$3,{"weibull","lognormal","loglogistic"},0),Inputs!$D$7,Inputs!$D$9,Inputs!$D$11)),IF(Inputs!$B$3="loglogistic",1/(1+(B119/CHOOSE(MATCH(Inputs!$B$3,{"weibull","lognormal","loglogistic"},0),Inputs!$F$7,Inputs!$F$9,Inputs!$F$11))^CHOOSE(MATCH(Inputs!$B$3,{"weibull","lognormal","loglogistic"},0),Inputs!$D$7,Inputs!$D$9,Inputs!$D$11)),1-NORM.S.DIST((LN(B119)-CHOOSE(MATCH(Inputs!$B$3,{"weibull","lognormal","loglogistic"},0),Inputs!$D$7,Inputs!$D$9,Inputs!$D$11))/CHOOSE(MATCH(Inputs!$B$3,{"weibull","lognormal","loglogistic"},0),Inputs!$F$7,Inputs!$F$9,Inputs!$F$11),TRUE))))</f>
        <v/>
      </c>
      <c r="D119">
        <f>IF(B119=0,1,IF(Inputs!$B$3="weibull",EXP(-(B119/CHOOSE(MATCH(Inputs!$B$3,{"weibull","lognormal","loglogistic"},0),Inputs!$F$8,Inputs!$F$10,Inputs!$F$12))^CHOOSE(MATCH(Inputs!$B$3,{"weibull","lognormal","loglogistic"},0),Inputs!$D$8,Inputs!$D$10,Inputs!$D$12)),IF(Inputs!$B$3="loglogistic",1/(1+(B119/CHOOSE(MATCH(Inputs!$B$3,{"weibull","lognormal","loglogistic"},0),Inputs!$F$8,Inputs!$F$10,Inputs!$F$12))^CHOOSE(MATCH(Inputs!$B$3,{"weibull","lognormal","loglogistic"},0),Inputs!$D$8,Inputs!$D$10,Inputs!$D$12)),1-NORM.S.DIST((LN(B119)-CHOOSE(MATCH(Inputs!$B$3,{"weibull","lognormal","loglogistic"},0),Inputs!$D$8,Inputs!$D$10,Inputs!$D$12))/CHOOSE(MATCH(Inputs!$B$3,{"weibull","lognormal","loglogistic"},0),Inputs!$F$8,Inputs!$F$10,Inputs!$F$12),TRUE))))</f>
        <v/>
      </c>
      <c r="E119">
        <f>(C118+C119)/2/12</f>
        <v/>
      </c>
      <c r="F119">
        <f>(D118+D119)/2/12</f>
        <v/>
      </c>
    </row>
    <row r="120">
      <c r="A120" t="n">
        <v>118</v>
      </c>
      <c r="B120">
        <f>A120/12</f>
        <v/>
      </c>
      <c r="C120">
        <f>IF(B120=0,1,IF(Inputs!$B$3="weibull",EXP(-(B120/CHOOSE(MATCH(Inputs!$B$3,{"weibull","lognormal","loglogistic"},0),Inputs!$F$7,Inputs!$F$9,Inputs!$F$11))^CHOOSE(MATCH(Inputs!$B$3,{"weibull","lognormal","loglogistic"},0),Inputs!$D$7,Inputs!$D$9,Inputs!$D$11)),IF(Inputs!$B$3="loglogistic",1/(1+(B120/CHOOSE(MATCH(Inputs!$B$3,{"weibull","lognormal","loglogistic"},0),Inputs!$F$7,Inputs!$F$9,Inputs!$F$11))^CHOOSE(MATCH(Inputs!$B$3,{"weibull","lognormal","loglogistic"},0),Inputs!$D$7,Inputs!$D$9,Inputs!$D$11)),1-NORM.S.DIST((LN(B120)-CHOOSE(MATCH(Inputs!$B$3,{"weibull","lognormal","loglogistic"},0),Inputs!$D$7,Inputs!$D$9,Inputs!$D$11))/CHOOSE(MATCH(Inputs!$B$3,{"weibull","lognormal","loglogistic"},0),Inputs!$F$7,Inputs!$F$9,Inputs!$F$11),TRUE))))</f>
        <v/>
      </c>
      <c r="D120">
        <f>IF(B120=0,1,IF(Inputs!$B$3="weibull",EXP(-(B120/CHOOSE(MATCH(Inputs!$B$3,{"weibull","lognormal","loglogistic"},0),Inputs!$F$8,Inputs!$F$10,Inputs!$F$12))^CHOOSE(MATCH(Inputs!$B$3,{"weibull","lognormal","loglogistic"},0),Inputs!$D$8,Inputs!$D$10,Inputs!$D$12)),IF(Inputs!$B$3="loglogistic",1/(1+(B120/CHOOSE(MATCH(Inputs!$B$3,{"weibull","lognormal","loglogistic"},0),Inputs!$F$8,Inputs!$F$10,Inputs!$F$12))^CHOOSE(MATCH(Inputs!$B$3,{"weibull","lognormal","loglogistic"},0),Inputs!$D$8,Inputs!$D$10,Inputs!$D$12)),1-NORM.S.DIST((LN(B120)-CHOOSE(MATCH(Inputs!$B$3,{"weibull","lognormal","loglogistic"},0),Inputs!$D$8,Inputs!$D$10,Inputs!$D$12))/CHOOSE(MATCH(Inputs!$B$3,{"weibull","lognormal","loglogistic"},0),Inputs!$F$8,Inputs!$F$10,Inputs!$F$12),TRUE))))</f>
        <v/>
      </c>
      <c r="E120">
        <f>(C119+C120)/2/12</f>
        <v/>
      </c>
      <c r="F120">
        <f>(D119+D120)/2/12</f>
        <v/>
      </c>
    </row>
    <row r="121">
      <c r="A121" t="n">
        <v>119</v>
      </c>
      <c r="B121">
        <f>A121/12</f>
        <v/>
      </c>
      <c r="C121">
        <f>IF(B121=0,1,IF(Inputs!$B$3="weibull",EXP(-(B121/CHOOSE(MATCH(Inputs!$B$3,{"weibull","lognormal","loglogistic"},0),Inputs!$F$7,Inputs!$F$9,Inputs!$F$11))^CHOOSE(MATCH(Inputs!$B$3,{"weibull","lognormal","loglogistic"},0),Inputs!$D$7,Inputs!$D$9,Inputs!$D$11)),IF(Inputs!$B$3="loglogistic",1/(1+(B121/CHOOSE(MATCH(Inputs!$B$3,{"weibull","lognormal","loglogistic"},0),Inputs!$F$7,Inputs!$F$9,Inputs!$F$11))^CHOOSE(MATCH(Inputs!$B$3,{"weibull","lognormal","loglogistic"},0),Inputs!$D$7,Inputs!$D$9,Inputs!$D$11)),1-NORM.S.DIST((LN(B121)-CHOOSE(MATCH(Inputs!$B$3,{"weibull","lognormal","loglogistic"},0),Inputs!$D$7,Inputs!$D$9,Inputs!$D$11))/CHOOSE(MATCH(Inputs!$B$3,{"weibull","lognormal","loglogistic"},0),Inputs!$F$7,Inputs!$F$9,Inputs!$F$11),TRUE))))</f>
        <v/>
      </c>
      <c r="D121">
        <f>IF(B121=0,1,IF(Inputs!$B$3="weibull",EXP(-(B121/CHOOSE(MATCH(Inputs!$B$3,{"weibull","lognormal","loglogistic"},0),Inputs!$F$8,Inputs!$F$10,Inputs!$F$12))^CHOOSE(MATCH(Inputs!$B$3,{"weibull","lognormal","loglogistic"},0),Inputs!$D$8,Inputs!$D$10,Inputs!$D$12)),IF(Inputs!$B$3="loglogistic",1/(1+(B121/CHOOSE(MATCH(Inputs!$B$3,{"weibull","lognormal","loglogistic"},0),Inputs!$F$8,Inputs!$F$10,Inputs!$F$12))^CHOOSE(MATCH(Inputs!$B$3,{"weibull","lognormal","loglogistic"},0),Inputs!$D$8,Inputs!$D$10,Inputs!$D$12)),1-NORM.S.DIST((LN(B121)-CHOOSE(MATCH(Inputs!$B$3,{"weibull","lognormal","loglogistic"},0),Inputs!$D$8,Inputs!$D$10,Inputs!$D$12))/CHOOSE(MATCH(Inputs!$B$3,{"weibull","lognormal","loglogistic"},0),Inputs!$F$8,Inputs!$F$10,Inputs!$F$12),TRUE))))</f>
        <v/>
      </c>
      <c r="E121">
        <f>(C120+C121)/2/12</f>
        <v/>
      </c>
      <c r="F121">
        <f>(D120+D121)/2/12</f>
        <v/>
      </c>
    </row>
    <row r="122">
      <c r="A122" t="n">
        <v>120</v>
      </c>
      <c r="B122">
        <f>A122/12</f>
        <v/>
      </c>
      <c r="C122">
        <f>IF(B122=0,1,IF(Inputs!$B$3="weibull",EXP(-(B122/CHOOSE(MATCH(Inputs!$B$3,{"weibull","lognormal","loglogistic"},0),Inputs!$F$7,Inputs!$F$9,Inputs!$F$11))^CHOOSE(MATCH(Inputs!$B$3,{"weibull","lognormal","loglogistic"},0),Inputs!$D$7,Inputs!$D$9,Inputs!$D$11)),IF(Inputs!$B$3="loglogistic",1/(1+(B122/CHOOSE(MATCH(Inputs!$B$3,{"weibull","lognormal","loglogistic"},0),Inputs!$F$7,Inputs!$F$9,Inputs!$F$11))^CHOOSE(MATCH(Inputs!$B$3,{"weibull","lognormal","loglogistic"},0),Inputs!$D$7,Inputs!$D$9,Inputs!$D$11)),1-NORM.S.DIST((LN(B122)-CHOOSE(MATCH(Inputs!$B$3,{"weibull","lognormal","loglogistic"},0),Inputs!$D$7,Inputs!$D$9,Inputs!$D$11))/CHOOSE(MATCH(Inputs!$B$3,{"weibull","lognormal","loglogistic"},0),Inputs!$F$7,Inputs!$F$9,Inputs!$F$11),TRUE))))</f>
        <v/>
      </c>
      <c r="D122">
        <f>IF(B122=0,1,IF(Inputs!$B$3="weibull",EXP(-(B122/CHOOSE(MATCH(Inputs!$B$3,{"weibull","lognormal","loglogistic"},0),Inputs!$F$8,Inputs!$F$10,Inputs!$F$12))^CHOOSE(MATCH(Inputs!$B$3,{"weibull","lognormal","loglogistic"},0),Inputs!$D$8,Inputs!$D$10,Inputs!$D$12)),IF(Inputs!$B$3="loglogistic",1/(1+(B122/CHOOSE(MATCH(Inputs!$B$3,{"weibull","lognormal","loglogistic"},0),Inputs!$F$8,Inputs!$F$10,Inputs!$F$12))^CHOOSE(MATCH(Inputs!$B$3,{"weibull","lognormal","loglogistic"},0),Inputs!$D$8,Inputs!$D$10,Inputs!$D$12)),1-NORM.S.DIST((LN(B122)-CHOOSE(MATCH(Inputs!$B$3,{"weibull","lognormal","loglogistic"},0),Inputs!$D$8,Inputs!$D$10,Inputs!$D$12))/CHOOSE(MATCH(Inputs!$B$3,{"weibull","lognormal","loglogistic"},0),Inputs!$F$8,Inputs!$F$10,Inputs!$F$12),TRUE))))</f>
        <v/>
      </c>
      <c r="E122">
        <f>(C121+C122)/2/12</f>
        <v/>
      </c>
      <c r="F122">
        <f>(D121+D122)/2/12</f>
        <v/>
      </c>
    </row>
    <row r="123">
      <c r="A123" t="n">
        <v>121</v>
      </c>
      <c r="B123">
        <f>A123/12</f>
        <v/>
      </c>
      <c r="C123">
        <f>IF(B123=0,1,IF(Inputs!$B$3="weibull",EXP(-(B123/CHOOSE(MATCH(Inputs!$B$3,{"weibull","lognormal","loglogistic"},0),Inputs!$F$7,Inputs!$F$9,Inputs!$F$11))^CHOOSE(MATCH(Inputs!$B$3,{"weibull","lognormal","loglogistic"},0),Inputs!$D$7,Inputs!$D$9,Inputs!$D$11)),IF(Inputs!$B$3="loglogistic",1/(1+(B123/CHOOSE(MATCH(Inputs!$B$3,{"weibull","lognormal","loglogistic"},0),Inputs!$F$7,Inputs!$F$9,Inputs!$F$11))^CHOOSE(MATCH(Inputs!$B$3,{"weibull","lognormal","loglogistic"},0),Inputs!$D$7,Inputs!$D$9,Inputs!$D$11)),1-NORM.S.DIST((LN(B123)-CHOOSE(MATCH(Inputs!$B$3,{"weibull","lognormal","loglogistic"},0),Inputs!$D$7,Inputs!$D$9,Inputs!$D$11))/CHOOSE(MATCH(Inputs!$B$3,{"weibull","lognormal","loglogistic"},0),Inputs!$F$7,Inputs!$F$9,Inputs!$F$11),TRUE))))</f>
        <v/>
      </c>
      <c r="D123">
        <f>IF(B123=0,1,IF(Inputs!$B$3="weibull",EXP(-(B123/CHOOSE(MATCH(Inputs!$B$3,{"weibull","lognormal","loglogistic"},0),Inputs!$F$8,Inputs!$F$10,Inputs!$F$12))^CHOOSE(MATCH(Inputs!$B$3,{"weibull","lognormal","loglogistic"},0),Inputs!$D$8,Inputs!$D$10,Inputs!$D$12)),IF(Inputs!$B$3="loglogistic",1/(1+(B123/CHOOSE(MATCH(Inputs!$B$3,{"weibull","lognormal","loglogistic"},0),Inputs!$F$8,Inputs!$F$10,Inputs!$F$12))^CHOOSE(MATCH(Inputs!$B$3,{"weibull","lognormal","loglogistic"},0),Inputs!$D$8,Inputs!$D$10,Inputs!$D$12)),1-NORM.S.DIST((LN(B123)-CHOOSE(MATCH(Inputs!$B$3,{"weibull","lognormal","loglogistic"},0),Inputs!$D$8,Inputs!$D$10,Inputs!$D$12))/CHOOSE(MATCH(Inputs!$B$3,{"weibull","lognormal","loglogistic"},0),Inputs!$F$8,Inputs!$F$10,Inputs!$F$12),TRUE))))</f>
        <v/>
      </c>
      <c r="E123">
        <f>(C122+C123)/2/12</f>
        <v/>
      </c>
      <c r="F123">
        <f>(D122+D123)/2/12</f>
        <v/>
      </c>
    </row>
    <row r="124">
      <c r="A124" t="n">
        <v>122</v>
      </c>
      <c r="B124">
        <f>A124/12</f>
        <v/>
      </c>
      <c r="C124">
        <f>IF(B124=0,1,IF(Inputs!$B$3="weibull",EXP(-(B124/CHOOSE(MATCH(Inputs!$B$3,{"weibull","lognormal","loglogistic"},0),Inputs!$F$7,Inputs!$F$9,Inputs!$F$11))^CHOOSE(MATCH(Inputs!$B$3,{"weibull","lognormal","loglogistic"},0),Inputs!$D$7,Inputs!$D$9,Inputs!$D$11)),IF(Inputs!$B$3="loglogistic",1/(1+(B124/CHOOSE(MATCH(Inputs!$B$3,{"weibull","lognormal","loglogistic"},0),Inputs!$F$7,Inputs!$F$9,Inputs!$F$11))^CHOOSE(MATCH(Inputs!$B$3,{"weibull","lognormal","loglogistic"},0),Inputs!$D$7,Inputs!$D$9,Inputs!$D$11)),1-NORM.S.DIST((LN(B124)-CHOOSE(MATCH(Inputs!$B$3,{"weibull","lognormal","loglogistic"},0),Inputs!$D$7,Inputs!$D$9,Inputs!$D$11))/CHOOSE(MATCH(Inputs!$B$3,{"weibull","lognormal","loglogistic"},0),Inputs!$F$7,Inputs!$F$9,Inputs!$F$11),TRUE))))</f>
        <v/>
      </c>
      <c r="D124">
        <f>IF(B124=0,1,IF(Inputs!$B$3="weibull",EXP(-(B124/CHOOSE(MATCH(Inputs!$B$3,{"weibull","lognormal","loglogistic"},0),Inputs!$F$8,Inputs!$F$10,Inputs!$F$12))^CHOOSE(MATCH(Inputs!$B$3,{"weibull","lognormal","loglogistic"},0),Inputs!$D$8,Inputs!$D$10,Inputs!$D$12)),IF(Inputs!$B$3="loglogistic",1/(1+(B124/CHOOSE(MATCH(Inputs!$B$3,{"weibull","lognormal","loglogistic"},0),Inputs!$F$8,Inputs!$F$10,Inputs!$F$12))^CHOOSE(MATCH(Inputs!$B$3,{"weibull","lognormal","loglogistic"},0),Inputs!$D$8,Inputs!$D$10,Inputs!$D$12)),1-NORM.S.DIST((LN(B124)-CHOOSE(MATCH(Inputs!$B$3,{"weibull","lognormal","loglogistic"},0),Inputs!$D$8,Inputs!$D$10,Inputs!$D$12))/CHOOSE(MATCH(Inputs!$B$3,{"weibull","lognormal","loglogistic"},0),Inputs!$F$8,Inputs!$F$10,Inputs!$F$12),TRUE))))</f>
        <v/>
      </c>
      <c r="E124">
        <f>(C123+C124)/2/12</f>
        <v/>
      </c>
      <c r="F124">
        <f>(D123+D124)/2/12</f>
        <v/>
      </c>
    </row>
    <row r="125">
      <c r="A125" t="n">
        <v>123</v>
      </c>
      <c r="B125">
        <f>A125/12</f>
        <v/>
      </c>
      <c r="C125">
        <f>IF(B125=0,1,IF(Inputs!$B$3="weibull",EXP(-(B125/CHOOSE(MATCH(Inputs!$B$3,{"weibull","lognormal","loglogistic"},0),Inputs!$F$7,Inputs!$F$9,Inputs!$F$11))^CHOOSE(MATCH(Inputs!$B$3,{"weibull","lognormal","loglogistic"},0),Inputs!$D$7,Inputs!$D$9,Inputs!$D$11)),IF(Inputs!$B$3="loglogistic",1/(1+(B125/CHOOSE(MATCH(Inputs!$B$3,{"weibull","lognormal","loglogistic"},0),Inputs!$F$7,Inputs!$F$9,Inputs!$F$11))^CHOOSE(MATCH(Inputs!$B$3,{"weibull","lognormal","loglogistic"},0),Inputs!$D$7,Inputs!$D$9,Inputs!$D$11)),1-NORM.S.DIST((LN(B125)-CHOOSE(MATCH(Inputs!$B$3,{"weibull","lognormal","loglogistic"},0),Inputs!$D$7,Inputs!$D$9,Inputs!$D$11))/CHOOSE(MATCH(Inputs!$B$3,{"weibull","lognormal","loglogistic"},0),Inputs!$F$7,Inputs!$F$9,Inputs!$F$11),TRUE))))</f>
        <v/>
      </c>
      <c r="D125">
        <f>IF(B125=0,1,IF(Inputs!$B$3="weibull",EXP(-(B125/CHOOSE(MATCH(Inputs!$B$3,{"weibull","lognormal","loglogistic"},0),Inputs!$F$8,Inputs!$F$10,Inputs!$F$12))^CHOOSE(MATCH(Inputs!$B$3,{"weibull","lognormal","loglogistic"},0),Inputs!$D$8,Inputs!$D$10,Inputs!$D$12)),IF(Inputs!$B$3="loglogistic",1/(1+(B125/CHOOSE(MATCH(Inputs!$B$3,{"weibull","lognormal","loglogistic"},0),Inputs!$F$8,Inputs!$F$10,Inputs!$F$12))^CHOOSE(MATCH(Inputs!$B$3,{"weibull","lognormal","loglogistic"},0),Inputs!$D$8,Inputs!$D$10,Inputs!$D$12)),1-NORM.S.DIST((LN(B125)-CHOOSE(MATCH(Inputs!$B$3,{"weibull","lognormal","loglogistic"},0),Inputs!$D$8,Inputs!$D$10,Inputs!$D$12))/CHOOSE(MATCH(Inputs!$B$3,{"weibull","lognormal","loglogistic"},0),Inputs!$F$8,Inputs!$F$10,Inputs!$F$12),TRUE))))</f>
        <v/>
      </c>
      <c r="E125">
        <f>(C124+C125)/2/12</f>
        <v/>
      </c>
      <c r="F125">
        <f>(D124+D125)/2/12</f>
        <v/>
      </c>
    </row>
    <row r="126">
      <c r="A126" t="n">
        <v>124</v>
      </c>
      <c r="B126">
        <f>A126/12</f>
        <v/>
      </c>
      <c r="C126">
        <f>IF(B126=0,1,IF(Inputs!$B$3="weibull",EXP(-(B126/CHOOSE(MATCH(Inputs!$B$3,{"weibull","lognormal","loglogistic"},0),Inputs!$F$7,Inputs!$F$9,Inputs!$F$11))^CHOOSE(MATCH(Inputs!$B$3,{"weibull","lognormal","loglogistic"},0),Inputs!$D$7,Inputs!$D$9,Inputs!$D$11)),IF(Inputs!$B$3="loglogistic",1/(1+(B126/CHOOSE(MATCH(Inputs!$B$3,{"weibull","lognormal","loglogistic"},0),Inputs!$F$7,Inputs!$F$9,Inputs!$F$11))^CHOOSE(MATCH(Inputs!$B$3,{"weibull","lognormal","loglogistic"},0),Inputs!$D$7,Inputs!$D$9,Inputs!$D$11)),1-NORM.S.DIST((LN(B126)-CHOOSE(MATCH(Inputs!$B$3,{"weibull","lognormal","loglogistic"},0),Inputs!$D$7,Inputs!$D$9,Inputs!$D$11))/CHOOSE(MATCH(Inputs!$B$3,{"weibull","lognormal","loglogistic"},0),Inputs!$F$7,Inputs!$F$9,Inputs!$F$11),TRUE))))</f>
        <v/>
      </c>
      <c r="D126">
        <f>IF(B126=0,1,IF(Inputs!$B$3="weibull",EXP(-(B126/CHOOSE(MATCH(Inputs!$B$3,{"weibull","lognormal","loglogistic"},0),Inputs!$F$8,Inputs!$F$10,Inputs!$F$12))^CHOOSE(MATCH(Inputs!$B$3,{"weibull","lognormal","loglogistic"},0),Inputs!$D$8,Inputs!$D$10,Inputs!$D$12)),IF(Inputs!$B$3="loglogistic",1/(1+(B126/CHOOSE(MATCH(Inputs!$B$3,{"weibull","lognormal","loglogistic"},0),Inputs!$F$8,Inputs!$F$10,Inputs!$F$12))^CHOOSE(MATCH(Inputs!$B$3,{"weibull","lognormal","loglogistic"},0),Inputs!$D$8,Inputs!$D$10,Inputs!$D$12)),1-NORM.S.DIST((LN(B126)-CHOOSE(MATCH(Inputs!$B$3,{"weibull","lognormal","loglogistic"},0),Inputs!$D$8,Inputs!$D$10,Inputs!$D$12))/CHOOSE(MATCH(Inputs!$B$3,{"weibull","lognormal","loglogistic"},0),Inputs!$F$8,Inputs!$F$10,Inputs!$F$12),TRUE))))</f>
        <v/>
      </c>
      <c r="E126">
        <f>(C125+C126)/2/12</f>
        <v/>
      </c>
      <c r="F126">
        <f>(D125+D126)/2/12</f>
        <v/>
      </c>
    </row>
    <row r="127">
      <c r="A127" t="n">
        <v>125</v>
      </c>
      <c r="B127">
        <f>A127/12</f>
        <v/>
      </c>
      <c r="C127">
        <f>IF(B127=0,1,IF(Inputs!$B$3="weibull",EXP(-(B127/CHOOSE(MATCH(Inputs!$B$3,{"weibull","lognormal","loglogistic"},0),Inputs!$F$7,Inputs!$F$9,Inputs!$F$11))^CHOOSE(MATCH(Inputs!$B$3,{"weibull","lognormal","loglogistic"},0),Inputs!$D$7,Inputs!$D$9,Inputs!$D$11)),IF(Inputs!$B$3="loglogistic",1/(1+(B127/CHOOSE(MATCH(Inputs!$B$3,{"weibull","lognormal","loglogistic"},0),Inputs!$F$7,Inputs!$F$9,Inputs!$F$11))^CHOOSE(MATCH(Inputs!$B$3,{"weibull","lognormal","loglogistic"},0),Inputs!$D$7,Inputs!$D$9,Inputs!$D$11)),1-NORM.S.DIST((LN(B127)-CHOOSE(MATCH(Inputs!$B$3,{"weibull","lognormal","loglogistic"},0),Inputs!$D$7,Inputs!$D$9,Inputs!$D$11))/CHOOSE(MATCH(Inputs!$B$3,{"weibull","lognormal","loglogistic"},0),Inputs!$F$7,Inputs!$F$9,Inputs!$F$11),TRUE))))</f>
        <v/>
      </c>
      <c r="D127">
        <f>IF(B127=0,1,IF(Inputs!$B$3="weibull",EXP(-(B127/CHOOSE(MATCH(Inputs!$B$3,{"weibull","lognormal","loglogistic"},0),Inputs!$F$8,Inputs!$F$10,Inputs!$F$12))^CHOOSE(MATCH(Inputs!$B$3,{"weibull","lognormal","loglogistic"},0),Inputs!$D$8,Inputs!$D$10,Inputs!$D$12)),IF(Inputs!$B$3="loglogistic",1/(1+(B127/CHOOSE(MATCH(Inputs!$B$3,{"weibull","lognormal","loglogistic"},0),Inputs!$F$8,Inputs!$F$10,Inputs!$F$12))^CHOOSE(MATCH(Inputs!$B$3,{"weibull","lognormal","loglogistic"},0),Inputs!$D$8,Inputs!$D$10,Inputs!$D$12)),1-NORM.S.DIST((LN(B127)-CHOOSE(MATCH(Inputs!$B$3,{"weibull","lognormal","loglogistic"},0),Inputs!$D$8,Inputs!$D$10,Inputs!$D$12))/CHOOSE(MATCH(Inputs!$B$3,{"weibull","lognormal","loglogistic"},0),Inputs!$F$8,Inputs!$F$10,Inputs!$F$12),TRUE))))</f>
        <v/>
      </c>
      <c r="E127">
        <f>(C126+C127)/2/12</f>
        <v/>
      </c>
      <c r="F127">
        <f>(D126+D127)/2/12</f>
        <v/>
      </c>
    </row>
    <row r="128">
      <c r="A128" t="n">
        <v>126</v>
      </c>
      <c r="B128">
        <f>A128/12</f>
        <v/>
      </c>
      <c r="C128">
        <f>IF(B128=0,1,IF(Inputs!$B$3="weibull",EXP(-(B128/CHOOSE(MATCH(Inputs!$B$3,{"weibull","lognormal","loglogistic"},0),Inputs!$F$7,Inputs!$F$9,Inputs!$F$11))^CHOOSE(MATCH(Inputs!$B$3,{"weibull","lognormal","loglogistic"},0),Inputs!$D$7,Inputs!$D$9,Inputs!$D$11)),IF(Inputs!$B$3="loglogistic",1/(1+(B128/CHOOSE(MATCH(Inputs!$B$3,{"weibull","lognormal","loglogistic"},0),Inputs!$F$7,Inputs!$F$9,Inputs!$F$11))^CHOOSE(MATCH(Inputs!$B$3,{"weibull","lognormal","loglogistic"},0),Inputs!$D$7,Inputs!$D$9,Inputs!$D$11)),1-NORM.S.DIST((LN(B128)-CHOOSE(MATCH(Inputs!$B$3,{"weibull","lognormal","loglogistic"},0),Inputs!$D$7,Inputs!$D$9,Inputs!$D$11))/CHOOSE(MATCH(Inputs!$B$3,{"weibull","lognormal","loglogistic"},0),Inputs!$F$7,Inputs!$F$9,Inputs!$F$11),TRUE))))</f>
        <v/>
      </c>
      <c r="D128">
        <f>IF(B128=0,1,IF(Inputs!$B$3="weibull",EXP(-(B128/CHOOSE(MATCH(Inputs!$B$3,{"weibull","lognormal","loglogistic"},0),Inputs!$F$8,Inputs!$F$10,Inputs!$F$12))^CHOOSE(MATCH(Inputs!$B$3,{"weibull","lognormal","loglogistic"},0),Inputs!$D$8,Inputs!$D$10,Inputs!$D$12)),IF(Inputs!$B$3="loglogistic",1/(1+(B128/CHOOSE(MATCH(Inputs!$B$3,{"weibull","lognormal","loglogistic"},0),Inputs!$F$8,Inputs!$F$10,Inputs!$F$12))^CHOOSE(MATCH(Inputs!$B$3,{"weibull","lognormal","loglogistic"},0),Inputs!$D$8,Inputs!$D$10,Inputs!$D$12)),1-NORM.S.DIST((LN(B128)-CHOOSE(MATCH(Inputs!$B$3,{"weibull","lognormal","loglogistic"},0),Inputs!$D$8,Inputs!$D$10,Inputs!$D$12))/CHOOSE(MATCH(Inputs!$B$3,{"weibull","lognormal","loglogistic"},0),Inputs!$F$8,Inputs!$F$10,Inputs!$F$12),TRUE))))</f>
        <v/>
      </c>
      <c r="E128">
        <f>(C127+C128)/2/12</f>
        <v/>
      </c>
      <c r="F128">
        <f>(D127+D128)/2/12</f>
        <v/>
      </c>
    </row>
    <row r="129">
      <c r="A129" t="n">
        <v>127</v>
      </c>
      <c r="B129">
        <f>A129/12</f>
        <v/>
      </c>
      <c r="C129">
        <f>IF(B129=0,1,IF(Inputs!$B$3="weibull",EXP(-(B129/CHOOSE(MATCH(Inputs!$B$3,{"weibull","lognormal","loglogistic"},0),Inputs!$F$7,Inputs!$F$9,Inputs!$F$11))^CHOOSE(MATCH(Inputs!$B$3,{"weibull","lognormal","loglogistic"},0),Inputs!$D$7,Inputs!$D$9,Inputs!$D$11)),IF(Inputs!$B$3="loglogistic",1/(1+(B129/CHOOSE(MATCH(Inputs!$B$3,{"weibull","lognormal","loglogistic"},0),Inputs!$F$7,Inputs!$F$9,Inputs!$F$11))^CHOOSE(MATCH(Inputs!$B$3,{"weibull","lognormal","loglogistic"},0),Inputs!$D$7,Inputs!$D$9,Inputs!$D$11)),1-NORM.S.DIST((LN(B129)-CHOOSE(MATCH(Inputs!$B$3,{"weibull","lognormal","loglogistic"},0),Inputs!$D$7,Inputs!$D$9,Inputs!$D$11))/CHOOSE(MATCH(Inputs!$B$3,{"weibull","lognormal","loglogistic"},0),Inputs!$F$7,Inputs!$F$9,Inputs!$F$11),TRUE))))</f>
        <v/>
      </c>
      <c r="D129">
        <f>IF(B129=0,1,IF(Inputs!$B$3="weibull",EXP(-(B129/CHOOSE(MATCH(Inputs!$B$3,{"weibull","lognormal","loglogistic"},0),Inputs!$F$8,Inputs!$F$10,Inputs!$F$12))^CHOOSE(MATCH(Inputs!$B$3,{"weibull","lognormal","loglogistic"},0),Inputs!$D$8,Inputs!$D$10,Inputs!$D$12)),IF(Inputs!$B$3="loglogistic",1/(1+(B129/CHOOSE(MATCH(Inputs!$B$3,{"weibull","lognormal","loglogistic"},0),Inputs!$F$8,Inputs!$F$10,Inputs!$F$12))^CHOOSE(MATCH(Inputs!$B$3,{"weibull","lognormal","loglogistic"},0),Inputs!$D$8,Inputs!$D$10,Inputs!$D$12)),1-NORM.S.DIST((LN(B129)-CHOOSE(MATCH(Inputs!$B$3,{"weibull","lognormal","loglogistic"},0),Inputs!$D$8,Inputs!$D$10,Inputs!$D$12))/CHOOSE(MATCH(Inputs!$B$3,{"weibull","lognormal","loglogistic"},0),Inputs!$F$8,Inputs!$F$10,Inputs!$F$12),TRUE))))</f>
        <v/>
      </c>
      <c r="E129">
        <f>(C128+C129)/2/12</f>
        <v/>
      </c>
      <c r="F129">
        <f>(D128+D129)/2/12</f>
        <v/>
      </c>
    </row>
    <row r="130">
      <c r="A130" t="n">
        <v>128</v>
      </c>
      <c r="B130">
        <f>A130/12</f>
        <v/>
      </c>
      <c r="C130">
        <f>IF(B130=0,1,IF(Inputs!$B$3="weibull",EXP(-(B130/CHOOSE(MATCH(Inputs!$B$3,{"weibull","lognormal","loglogistic"},0),Inputs!$F$7,Inputs!$F$9,Inputs!$F$11))^CHOOSE(MATCH(Inputs!$B$3,{"weibull","lognormal","loglogistic"},0),Inputs!$D$7,Inputs!$D$9,Inputs!$D$11)),IF(Inputs!$B$3="loglogistic",1/(1+(B130/CHOOSE(MATCH(Inputs!$B$3,{"weibull","lognormal","loglogistic"},0),Inputs!$F$7,Inputs!$F$9,Inputs!$F$11))^CHOOSE(MATCH(Inputs!$B$3,{"weibull","lognormal","loglogistic"},0),Inputs!$D$7,Inputs!$D$9,Inputs!$D$11)),1-NORM.S.DIST((LN(B130)-CHOOSE(MATCH(Inputs!$B$3,{"weibull","lognormal","loglogistic"},0),Inputs!$D$7,Inputs!$D$9,Inputs!$D$11))/CHOOSE(MATCH(Inputs!$B$3,{"weibull","lognormal","loglogistic"},0),Inputs!$F$7,Inputs!$F$9,Inputs!$F$11),TRUE))))</f>
        <v/>
      </c>
      <c r="D130">
        <f>IF(B130=0,1,IF(Inputs!$B$3="weibull",EXP(-(B130/CHOOSE(MATCH(Inputs!$B$3,{"weibull","lognormal","loglogistic"},0),Inputs!$F$8,Inputs!$F$10,Inputs!$F$12))^CHOOSE(MATCH(Inputs!$B$3,{"weibull","lognormal","loglogistic"},0),Inputs!$D$8,Inputs!$D$10,Inputs!$D$12)),IF(Inputs!$B$3="loglogistic",1/(1+(B130/CHOOSE(MATCH(Inputs!$B$3,{"weibull","lognormal","loglogistic"},0),Inputs!$F$8,Inputs!$F$10,Inputs!$F$12))^CHOOSE(MATCH(Inputs!$B$3,{"weibull","lognormal","loglogistic"},0),Inputs!$D$8,Inputs!$D$10,Inputs!$D$12)),1-NORM.S.DIST((LN(B130)-CHOOSE(MATCH(Inputs!$B$3,{"weibull","lognormal","loglogistic"},0),Inputs!$D$8,Inputs!$D$10,Inputs!$D$12))/CHOOSE(MATCH(Inputs!$B$3,{"weibull","lognormal","loglogistic"},0),Inputs!$F$8,Inputs!$F$10,Inputs!$F$12),TRUE))))</f>
        <v/>
      </c>
      <c r="E130">
        <f>(C129+C130)/2/12</f>
        <v/>
      </c>
      <c r="F130">
        <f>(D129+D130)/2/12</f>
        <v/>
      </c>
    </row>
    <row r="131">
      <c r="A131" t="n">
        <v>129</v>
      </c>
      <c r="B131">
        <f>A131/12</f>
        <v/>
      </c>
      <c r="C131">
        <f>IF(B131=0,1,IF(Inputs!$B$3="weibull",EXP(-(B131/CHOOSE(MATCH(Inputs!$B$3,{"weibull","lognormal","loglogistic"},0),Inputs!$F$7,Inputs!$F$9,Inputs!$F$11))^CHOOSE(MATCH(Inputs!$B$3,{"weibull","lognormal","loglogistic"},0),Inputs!$D$7,Inputs!$D$9,Inputs!$D$11)),IF(Inputs!$B$3="loglogistic",1/(1+(B131/CHOOSE(MATCH(Inputs!$B$3,{"weibull","lognormal","loglogistic"},0),Inputs!$F$7,Inputs!$F$9,Inputs!$F$11))^CHOOSE(MATCH(Inputs!$B$3,{"weibull","lognormal","loglogistic"},0),Inputs!$D$7,Inputs!$D$9,Inputs!$D$11)),1-NORM.S.DIST((LN(B131)-CHOOSE(MATCH(Inputs!$B$3,{"weibull","lognormal","loglogistic"},0),Inputs!$D$7,Inputs!$D$9,Inputs!$D$11))/CHOOSE(MATCH(Inputs!$B$3,{"weibull","lognormal","loglogistic"},0),Inputs!$F$7,Inputs!$F$9,Inputs!$F$11),TRUE))))</f>
        <v/>
      </c>
      <c r="D131">
        <f>IF(B131=0,1,IF(Inputs!$B$3="weibull",EXP(-(B131/CHOOSE(MATCH(Inputs!$B$3,{"weibull","lognormal","loglogistic"},0),Inputs!$F$8,Inputs!$F$10,Inputs!$F$12))^CHOOSE(MATCH(Inputs!$B$3,{"weibull","lognormal","loglogistic"},0),Inputs!$D$8,Inputs!$D$10,Inputs!$D$12)),IF(Inputs!$B$3="loglogistic",1/(1+(B131/CHOOSE(MATCH(Inputs!$B$3,{"weibull","lognormal","loglogistic"},0),Inputs!$F$8,Inputs!$F$10,Inputs!$F$12))^CHOOSE(MATCH(Inputs!$B$3,{"weibull","lognormal","loglogistic"},0),Inputs!$D$8,Inputs!$D$10,Inputs!$D$12)),1-NORM.S.DIST((LN(B131)-CHOOSE(MATCH(Inputs!$B$3,{"weibull","lognormal","loglogistic"},0),Inputs!$D$8,Inputs!$D$10,Inputs!$D$12))/CHOOSE(MATCH(Inputs!$B$3,{"weibull","lognormal","loglogistic"},0),Inputs!$F$8,Inputs!$F$10,Inputs!$F$12),TRUE))))</f>
        <v/>
      </c>
      <c r="E131">
        <f>(C130+C131)/2/12</f>
        <v/>
      </c>
      <c r="F131">
        <f>(D130+D131)/2/12</f>
        <v/>
      </c>
    </row>
    <row r="132">
      <c r="A132" t="n">
        <v>130</v>
      </c>
      <c r="B132">
        <f>A132/12</f>
        <v/>
      </c>
      <c r="C132">
        <f>IF(B132=0,1,IF(Inputs!$B$3="weibull",EXP(-(B132/CHOOSE(MATCH(Inputs!$B$3,{"weibull","lognormal","loglogistic"},0),Inputs!$F$7,Inputs!$F$9,Inputs!$F$11))^CHOOSE(MATCH(Inputs!$B$3,{"weibull","lognormal","loglogistic"},0),Inputs!$D$7,Inputs!$D$9,Inputs!$D$11)),IF(Inputs!$B$3="loglogistic",1/(1+(B132/CHOOSE(MATCH(Inputs!$B$3,{"weibull","lognormal","loglogistic"},0),Inputs!$F$7,Inputs!$F$9,Inputs!$F$11))^CHOOSE(MATCH(Inputs!$B$3,{"weibull","lognormal","loglogistic"},0),Inputs!$D$7,Inputs!$D$9,Inputs!$D$11)),1-NORM.S.DIST((LN(B132)-CHOOSE(MATCH(Inputs!$B$3,{"weibull","lognormal","loglogistic"},0),Inputs!$D$7,Inputs!$D$9,Inputs!$D$11))/CHOOSE(MATCH(Inputs!$B$3,{"weibull","lognormal","loglogistic"},0),Inputs!$F$7,Inputs!$F$9,Inputs!$F$11),TRUE))))</f>
        <v/>
      </c>
      <c r="D132">
        <f>IF(B132=0,1,IF(Inputs!$B$3="weibull",EXP(-(B132/CHOOSE(MATCH(Inputs!$B$3,{"weibull","lognormal","loglogistic"},0),Inputs!$F$8,Inputs!$F$10,Inputs!$F$12))^CHOOSE(MATCH(Inputs!$B$3,{"weibull","lognormal","loglogistic"},0),Inputs!$D$8,Inputs!$D$10,Inputs!$D$12)),IF(Inputs!$B$3="loglogistic",1/(1+(B132/CHOOSE(MATCH(Inputs!$B$3,{"weibull","lognormal","loglogistic"},0),Inputs!$F$8,Inputs!$F$10,Inputs!$F$12))^CHOOSE(MATCH(Inputs!$B$3,{"weibull","lognormal","loglogistic"},0),Inputs!$D$8,Inputs!$D$10,Inputs!$D$12)),1-NORM.S.DIST((LN(B132)-CHOOSE(MATCH(Inputs!$B$3,{"weibull","lognormal","loglogistic"},0),Inputs!$D$8,Inputs!$D$10,Inputs!$D$12))/CHOOSE(MATCH(Inputs!$B$3,{"weibull","lognormal","loglogistic"},0),Inputs!$F$8,Inputs!$F$10,Inputs!$F$12),TRUE))))</f>
        <v/>
      </c>
      <c r="E132">
        <f>(C131+C132)/2/12</f>
        <v/>
      </c>
      <c r="F132">
        <f>(D131+D132)/2/12</f>
        <v/>
      </c>
    </row>
    <row r="133">
      <c r="A133" t="n">
        <v>131</v>
      </c>
      <c r="B133">
        <f>A133/12</f>
        <v/>
      </c>
      <c r="C133">
        <f>IF(B133=0,1,IF(Inputs!$B$3="weibull",EXP(-(B133/CHOOSE(MATCH(Inputs!$B$3,{"weibull","lognormal","loglogistic"},0),Inputs!$F$7,Inputs!$F$9,Inputs!$F$11))^CHOOSE(MATCH(Inputs!$B$3,{"weibull","lognormal","loglogistic"},0),Inputs!$D$7,Inputs!$D$9,Inputs!$D$11)),IF(Inputs!$B$3="loglogistic",1/(1+(B133/CHOOSE(MATCH(Inputs!$B$3,{"weibull","lognormal","loglogistic"},0),Inputs!$F$7,Inputs!$F$9,Inputs!$F$11))^CHOOSE(MATCH(Inputs!$B$3,{"weibull","lognormal","loglogistic"},0),Inputs!$D$7,Inputs!$D$9,Inputs!$D$11)),1-NORM.S.DIST((LN(B133)-CHOOSE(MATCH(Inputs!$B$3,{"weibull","lognormal","loglogistic"},0),Inputs!$D$7,Inputs!$D$9,Inputs!$D$11))/CHOOSE(MATCH(Inputs!$B$3,{"weibull","lognormal","loglogistic"},0),Inputs!$F$7,Inputs!$F$9,Inputs!$F$11),TRUE))))</f>
        <v/>
      </c>
      <c r="D133">
        <f>IF(B133=0,1,IF(Inputs!$B$3="weibull",EXP(-(B133/CHOOSE(MATCH(Inputs!$B$3,{"weibull","lognormal","loglogistic"},0),Inputs!$F$8,Inputs!$F$10,Inputs!$F$12))^CHOOSE(MATCH(Inputs!$B$3,{"weibull","lognormal","loglogistic"},0),Inputs!$D$8,Inputs!$D$10,Inputs!$D$12)),IF(Inputs!$B$3="loglogistic",1/(1+(B133/CHOOSE(MATCH(Inputs!$B$3,{"weibull","lognormal","loglogistic"},0),Inputs!$F$8,Inputs!$F$10,Inputs!$F$12))^CHOOSE(MATCH(Inputs!$B$3,{"weibull","lognormal","loglogistic"},0),Inputs!$D$8,Inputs!$D$10,Inputs!$D$12)),1-NORM.S.DIST((LN(B133)-CHOOSE(MATCH(Inputs!$B$3,{"weibull","lognormal","loglogistic"},0),Inputs!$D$8,Inputs!$D$10,Inputs!$D$12))/CHOOSE(MATCH(Inputs!$B$3,{"weibull","lognormal","loglogistic"},0),Inputs!$F$8,Inputs!$F$10,Inputs!$F$12),TRUE))))</f>
        <v/>
      </c>
      <c r="E133">
        <f>(C132+C133)/2/12</f>
        <v/>
      </c>
      <c r="F133">
        <f>(D132+D133)/2/12</f>
        <v/>
      </c>
    </row>
    <row r="134">
      <c r="A134" t="n">
        <v>132</v>
      </c>
      <c r="B134">
        <f>A134/12</f>
        <v/>
      </c>
      <c r="C134">
        <f>IF(B134=0,1,IF(Inputs!$B$3="weibull",EXP(-(B134/CHOOSE(MATCH(Inputs!$B$3,{"weibull","lognormal","loglogistic"},0),Inputs!$F$7,Inputs!$F$9,Inputs!$F$11))^CHOOSE(MATCH(Inputs!$B$3,{"weibull","lognormal","loglogistic"},0),Inputs!$D$7,Inputs!$D$9,Inputs!$D$11)),IF(Inputs!$B$3="loglogistic",1/(1+(B134/CHOOSE(MATCH(Inputs!$B$3,{"weibull","lognormal","loglogistic"},0),Inputs!$F$7,Inputs!$F$9,Inputs!$F$11))^CHOOSE(MATCH(Inputs!$B$3,{"weibull","lognormal","loglogistic"},0),Inputs!$D$7,Inputs!$D$9,Inputs!$D$11)),1-NORM.S.DIST((LN(B134)-CHOOSE(MATCH(Inputs!$B$3,{"weibull","lognormal","loglogistic"},0),Inputs!$D$7,Inputs!$D$9,Inputs!$D$11))/CHOOSE(MATCH(Inputs!$B$3,{"weibull","lognormal","loglogistic"},0),Inputs!$F$7,Inputs!$F$9,Inputs!$F$11),TRUE))))</f>
        <v/>
      </c>
      <c r="D134">
        <f>IF(B134=0,1,IF(Inputs!$B$3="weibull",EXP(-(B134/CHOOSE(MATCH(Inputs!$B$3,{"weibull","lognormal","loglogistic"},0),Inputs!$F$8,Inputs!$F$10,Inputs!$F$12))^CHOOSE(MATCH(Inputs!$B$3,{"weibull","lognormal","loglogistic"},0),Inputs!$D$8,Inputs!$D$10,Inputs!$D$12)),IF(Inputs!$B$3="loglogistic",1/(1+(B134/CHOOSE(MATCH(Inputs!$B$3,{"weibull","lognormal","loglogistic"},0),Inputs!$F$8,Inputs!$F$10,Inputs!$F$12))^CHOOSE(MATCH(Inputs!$B$3,{"weibull","lognormal","loglogistic"},0),Inputs!$D$8,Inputs!$D$10,Inputs!$D$12)),1-NORM.S.DIST((LN(B134)-CHOOSE(MATCH(Inputs!$B$3,{"weibull","lognormal","loglogistic"},0),Inputs!$D$8,Inputs!$D$10,Inputs!$D$12))/CHOOSE(MATCH(Inputs!$B$3,{"weibull","lognormal","loglogistic"},0),Inputs!$F$8,Inputs!$F$10,Inputs!$F$12),TRUE))))</f>
        <v/>
      </c>
      <c r="E134">
        <f>(C133+C134)/2/12</f>
        <v/>
      </c>
      <c r="F134">
        <f>(D133+D134)/2/12</f>
        <v/>
      </c>
    </row>
    <row r="135">
      <c r="A135" t="n">
        <v>133</v>
      </c>
      <c r="B135">
        <f>A135/12</f>
        <v/>
      </c>
      <c r="C135">
        <f>IF(B135=0,1,IF(Inputs!$B$3="weibull",EXP(-(B135/CHOOSE(MATCH(Inputs!$B$3,{"weibull","lognormal","loglogistic"},0),Inputs!$F$7,Inputs!$F$9,Inputs!$F$11))^CHOOSE(MATCH(Inputs!$B$3,{"weibull","lognormal","loglogistic"},0),Inputs!$D$7,Inputs!$D$9,Inputs!$D$11)),IF(Inputs!$B$3="loglogistic",1/(1+(B135/CHOOSE(MATCH(Inputs!$B$3,{"weibull","lognormal","loglogistic"},0),Inputs!$F$7,Inputs!$F$9,Inputs!$F$11))^CHOOSE(MATCH(Inputs!$B$3,{"weibull","lognormal","loglogistic"},0),Inputs!$D$7,Inputs!$D$9,Inputs!$D$11)),1-NORM.S.DIST((LN(B135)-CHOOSE(MATCH(Inputs!$B$3,{"weibull","lognormal","loglogistic"},0),Inputs!$D$7,Inputs!$D$9,Inputs!$D$11))/CHOOSE(MATCH(Inputs!$B$3,{"weibull","lognormal","loglogistic"},0),Inputs!$F$7,Inputs!$F$9,Inputs!$F$11),TRUE))))</f>
        <v/>
      </c>
      <c r="D135">
        <f>IF(B135=0,1,IF(Inputs!$B$3="weibull",EXP(-(B135/CHOOSE(MATCH(Inputs!$B$3,{"weibull","lognormal","loglogistic"},0),Inputs!$F$8,Inputs!$F$10,Inputs!$F$12))^CHOOSE(MATCH(Inputs!$B$3,{"weibull","lognormal","loglogistic"},0),Inputs!$D$8,Inputs!$D$10,Inputs!$D$12)),IF(Inputs!$B$3="loglogistic",1/(1+(B135/CHOOSE(MATCH(Inputs!$B$3,{"weibull","lognormal","loglogistic"},0),Inputs!$F$8,Inputs!$F$10,Inputs!$F$12))^CHOOSE(MATCH(Inputs!$B$3,{"weibull","lognormal","loglogistic"},0),Inputs!$D$8,Inputs!$D$10,Inputs!$D$12)),1-NORM.S.DIST((LN(B135)-CHOOSE(MATCH(Inputs!$B$3,{"weibull","lognormal","loglogistic"},0),Inputs!$D$8,Inputs!$D$10,Inputs!$D$12))/CHOOSE(MATCH(Inputs!$B$3,{"weibull","lognormal","loglogistic"},0),Inputs!$F$8,Inputs!$F$10,Inputs!$F$12),TRUE))))</f>
        <v/>
      </c>
      <c r="E135">
        <f>(C134+C135)/2/12</f>
        <v/>
      </c>
      <c r="F135">
        <f>(D134+D135)/2/12</f>
        <v/>
      </c>
    </row>
    <row r="136">
      <c r="A136" t="n">
        <v>134</v>
      </c>
      <c r="B136">
        <f>A136/12</f>
        <v/>
      </c>
      <c r="C136">
        <f>IF(B136=0,1,IF(Inputs!$B$3="weibull",EXP(-(B136/CHOOSE(MATCH(Inputs!$B$3,{"weibull","lognormal","loglogistic"},0),Inputs!$F$7,Inputs!$F$9,Inputs!$F$11))^CHOOSE(MATCH(Inputs!$B$3,{"weibull","lognormal","loglogistic"},0),Inputs!$D$7,Inputs!$D$9,Inputs!$D$11)),IF(Inputs!$B$3="loglogistic",1/(1+(B136/CHOOSE(MATCH(Inputs!$B$3,{"weibull","lognormal","loglogistic"},0),Inputs!$F$7,Inputs!$F$9,Inputs!$F$11))^CHOOSE(MATCH(Inputs!$B$3,{"weibull","lognormal","loglogistic"},0),Inputs!$D$7,Inputs!$D$9,Inputs!$D$11)),1-NORM.S.DIST((LN(B136)-CHOOSE(MATCH(Inputs!$B$3,{"weibull","lognormal","loglogistic"},0),Inputs!$D$7,Inputs!$D$9,Inputs!$D$11))/CHOOSE(MATCH(Inputs!$B$3,{"weibull","lognormal","loglogistic"},0),Inputs!$F$7,Inputs!$F$9,Inputs!$F$11),TRUE))))</f>
        <v/>
      </c>
      <c r="D136">
        <f>IF(B136=0,1,IF(Inputs!$B$3="weibull",EXP(-(B136/CHOOSE(MATCH(Inputs!$B$3,{"weibull","lognormal","loglogistic"},0),Inputs!$F$8,Inputs!$F$10,Inputs!$F$12))^CHOOSE(MATCH(Inputs!$B$3,{"weibull","lognormal","loglogistic"},0),Inputs!$D$8,Inputs!$D$10,Inputs!$D$12)),IF(Inputs!$B$3="loglogistic",1/(1+(B136/CHOOSE(MATCH(Inputs!$B$3,{"weibull","lognormal","loglogistic"},0),Inputs!$F$8,Inputs!$F$10,Inputs!$F$12))^CHOOSE(MATCH(Inputs!$B$3,{"weibull","lognormal","loglogistic"},0),Inputs!$D$8,Inputs!$D$10,Inputs!$D$12)),1-NORM.S.DIST((LN(B136)-CHOOSE(MATCH(Inputs!$B$3,{"weibull","lognormal","loglogistic"},0),Inputs!$D$8,Inputs!$D$10,Inputs!$D$12))/CHOOSE(MATCH(Inputs!$B$3,{"weibull","lognormal","loglogistic"},0),Inputs!$F$8,Inputs!$F$10,Inputs!$F$12),TRUE))))</f>
        <v/>
      </c>
      <c r="E136">
        <f>(C135+C136)/2/12</f>
        <v/>
      </c>
      <c r="F136">
        <f>(D135+D136)/2/12</f>
        <v/>
      </c>
    </row>
    <row r="137">
      <c r="A137" t="n">
        <v>135</v>
      </c>
      <c r="B137">
        <f>A137/12</f>
        <v/>
      </c>
      <c r="C137">
        <f>IF(B137=0,1,IF(Inputs!$B$3="weibull",EXP(-(B137/CHOOSE(MATCH(Inputs!$B$3,{"weibull","lognormal","loglogistic"},0),Inputs!$F$7,Inputs!$F$9,Inputs!$F$11))^CHOOSE(MATCH(Inputs!$B$3,{"weibull","lognormal","loglogistic"},0),Inputs!$D$7,Inputs!$D$9,Inputs!$D$11)),IF(Inputs!$B$3="loglogistic",1/(1+(B137/CHOOSE(MATCH(Inputs!$B$3,{"weibull","lognormal","loglogistic"},0),Inputs!$F$7,Inputs!$F$9,Inputs!$F$11))^CHOOSE(MATCH(Inputs!$B$3,{"weibull","lognormal","loglogistic"},0),Inputs!$D$7,Inputs!$D$9,Inputs!$D$11)),1-NORM.S.DIST((LN(B137)-CHOOSE(MATCH(Inputs!$B$3,{"weibull","lognormal","loglogistic"},0),Inputs!$D$7,Inputs!$D$9,Inputs!$D$11))/CHOOSE(MATCH(Inputs!$B$3,{"weibull","lognormal","loglogistic"},0),Inputs!$F$7,Inputs!$F$9,Inputs!$F$11),TRUE))))</f>
        <v/>
      </c>
      <c r="D137">
        <f>IF(B137=0,1,IF(Inputs!$B$3="weibull",EXP(-(B137/CHOOSE(MATCH(Inputs!$B$3,{"weibull","lognormal","loglogistic"},0),Inputs!$F$8,Inputs!$F$10,Inputs!$F$12))^CHOOSE(MATCH(Inputs!$B$3,{"weibull","lognormal","loglogistic"},0),Inputs!$D$8,Inputs!$D$10,Inputs!$D$12)),IF(Inputs!$B$3="loglogistic",1/(1+(B137/CHOOSE(MATCH(Inputs!$B$3,{"weibull","lognormal","loglogistic"},0),Inputs!$F$8,Inputs!$F$10,Inputs!$F$12))^CHOOSE(MATCH(Inputs!$B$3,{"weibull","lognormal","loglogistic"},0),Inputs!$D$8,Inputs!$D$10,Inputs!$D$12)),1-NORM.S.DIST((LN(B137)-CHOOSE(MATCH(Inputs!$B$3,{"weibull","lognormal","loglogistic"},0),Inputs!$D$8,Inputs!$D$10,Inputs!$D$12))/CHOOSE(MATCH(Inputs!$B$3,{"weibull","lognormal","loglogistic"},0),Inputs!$F$8,Inputs!$F$10,Inputs!$F$12),TRUE))))</f>
        <v/>
      </c>
      <c r="E137">
        <f>(C136+C137)/2/12</f>
        <v/>
      </c>
      <c r="F137">
        <f>(D136+D137)/2/12</f>
        <v/>
      </c>
    </row>
    <row r="138">
      <c r="A138" t="n">
        <v>136</v>
      </c>
      <c r="B138">
        <f>A138/12</f>
        <v/>
      </c>
      <c r="C138">
        <f>IF(B138=0,1,IF(Inputs!$B$3="weibull",EXP(-(B138/CHOOSE(MATCH(Inputs!$B$3,{"weibull","lognormal","loglogistic"},0),Inputs!$F$7,Inputs!$F$9,Inputs!$F$11))^CHOOSE(MATCH(Inputs!$B$3,{"weibull","lognormal","loglogistic"},0),Inputs!$D$7,Inputs!$D$9,Inputs!$D$11)),IF(Inputs!$B$3="loglogistic",1/(1+(B138/CHOOSE(MATCH(Inputs!$B$3,{"weibull","lognormal","loglogistic"},0),Inputs!$F$7,Inputs!$F$9,Inputs!$F$11))^CHOOSE(MATCH(Inputs!$B$3,{"weibull","lognormal","loglogistic"},0),Inputs!$D$7,Inputs!$D$9,Inputs!$D$11)),1-NORM.S.DIST((LN(B138)-CHOOSE(MATCH(Inputs!$B$3,{"weibull","lognormal","loglogistic"},0),Inputs!$D$7,Inputs!$D$9,Inputs!$D$11))/CHOOSE(MATCH(Inputs!$B$3,{"weibull","lognormal","loglogistic"},0),Inputs!$F$7,Inputs!$F$9,Inputs!$F$11),TRUE))))</f>
        <v/>
      </c>
      <c r="D138">
        <f>IF(B138=0,1,IF(Inputs!$B$3="weibull",EXP(-(B138/CHOOSE(MATCH(Inputs!$B$3,{"weibull","lognormal","loglogistic"},0),Inputs!$F$8,Inputs!$F$10,Inputs!$F$12))^CHOOSE(MATCH(Inputs!$B$3,{"weibull","lognormal","loglogistic"},0),Inputs!$D$8,Inputs!$D$10,Inputs!$D$12)),IF(Inputs!$B$3="loglogistic",1/(1+(B138/CHOOSE(MATCH(Inputs!$B$3,{"weibull","lognormal","loglogistic"},0),Inputs!$F$8,Inputs!$F$10,Inputs!$F$12))^CHOOSE(MATCH(Inputs!$B$3,{"weibull","lognormal","loglogistic"},0),Inputs!$D$8,Inputs!$D$10,Inputs!$D$12)),1-NORM.S.DIST((LN(B138)-CHOOSE(MATCH(Inputs!$B$3,{"weibull","lognormal","loglogistic"},0),Inputs!$D$8,Inputs!$D$10,Inputs!$D$12))/CHOOSE(MATCH(Inputs!$B$3,{"weibull","lognormal","loglogistic"},0),Inputs!$F$8,Inputs!$F$10,Inputs!$F$12),TRUE))))</f>
        <v/>
      </c>
      <c r="E138">
        <f>(C137+C138)/2/12</f>
        <v/>
      </c>
      <c r="F138">
        <f>(D137+D138)/2/12</f>
        <v/>
      </c>
    </row>
    <row r="139">
      <c r="A139" t="n">
        <v>137</v>
      </c>
      <c r="B139">
        <f>A139/12</f>
        <v/>
      </c>
      <c r="C139">
        <f>IF(B139=0,1,IF(Inputs!$B$3="weibull",EXP(-(B139/CHOOSE(MATCH(Inputs!$B$3,{"weibull","lognormal","loglogistic"},0),Inputs!$F$7,Inputs!$F$9,Inputs!$F$11))^CHOOSE(MATCH(Inputs!$B$3,{"weibull","lognormal","loglogistic"},0),Inputs!$D$7,Inputs!$D$9,Inputs!$D$11)),IF(Inputs!$B$3="loglogistic",1/(1+(B139/CHOOSE(MATCH(Inputs!$B$3,{"weibull","lognormal","loglogistic"},0),Inputs!$F$7,Inputs!$F$9,Inputs!$F$11))^CHOOSE(MATCH(Inputs!$B$3,{"weibull","lognormal","loglogistic"},0),Inputs!$D$7,Inputs!$D$9,Inputs!$D$11)),1-NORM.S.DIST((LN(B139)-CHOOSE(MATCH(Inputs!$B$3,{"weibull","lognormal","loglogistic"},0),Inputs!$D$7,Inputs!$D$9,Inputs!$D$11))/CHOOSE(MATCH(Inputs!$B$3,{"weibull","lognormal","loglogistic"},0),Inputs!$F$7,Inputs!$F$9,Inputs!$F$11),TRUE))))</f>
        <v/>
      </c>
      <c r="D139">
        <f>IF(B139=0,1,IF(Inputs!$B$3="weibull",EXP(-(B139/CHOOSE(MATCH(Inputs!$B$3,{"weibull","lognormal","loglogistic"},0),Inputs!$F$8,Inputs!$F$10,Inputs!$F$12))^CHOOSE(MATCH(Inputs!$B$3,{"weibull","lognormal","loglogistic"},0),Inputs!$D$8,Inputs!$D$10,Inputs!$D$12)),IF(Inputs!$B$3="loglogistic",1/(1+(B139/CHOOSE(MATCH(Inputs!$B$3,{"weibull","lognormal","loglogistic"},0),Inputs!$F$8,Inputs!$F$10,Inputs!$F$12))^CHOOSE(MATCH(Inputs!$B$3,{"weibull","lognormal","loglogistic"},0),Inputs!$D$8,Inputs!$D$10,Inputs!$D$12)),1-NORM.S.DIST((LN(B139)-CHOOSE(MATCH(Inputs!$B$3,{"weibull","lognormal","loglogistic"},0),Inputs!$D$8,Inputs!$D$10,Inputs!$D$12))/CHOOSE(MATCH(Inputs!$B$3,{"weibull","lognormal","loglogistic"},0),Inputs!$F$8,Inputs!$F$10,Inputs!$F$12),TRUE))))</f>
        <v/>
      </c>
      <c r="E139">
        <f>(C138+C139)/2/12</f>
        <v/>
      </c>
      <c r="F139">
        <f>(D138+D139)/2/12</f>
        <v/>
      </c>
    </row>
    <row r="140">
      <c r="A140" t="n">
        <v>138</v>
      </c>
      <c r="B140">
        <f>A140/12</f>
        <v/>
      </c>
      <c r="C140">
        <f>IF(B140=0,1,IF(Inputs!$B$3="weibull",EXP(-(B140/CHOOSE(MATCH(Inputs!$B$3,{"weibull","lognormal","loglogistic"},0),Inputs!$F$7,Inputs!$F$9,Inputs!$F$11))^CHOOSE(MATCH(Inputs!$B$3,{"weibull","lognormal","loglogistic"},0),Inputs!$D$7,Inputs!$D$9,Inputs!$D$11)),IF(Inputs!$B$3="loglogistic",1/(1+(B140/CHOOSE(MATCH(Inputs!$B$3,{"weibull","lognormal","loglogistic"},0),Inputs!$F$7,Inputs!$F$9,Inputs!$F$11))^CHOOSE(MATCH(Inputs!$B$3,{"weibull","lognormal","loglogistic"},0),Inputs!$D$7,Inputs!$D$9,Inputs!$D$11)),1-NORM.S.DIST((LN(B140)-CHOOSE(MATCH(Inputs!$B$3,{"weibull","lognormal","loglogistic"},0),Inputs!$D$7,Inputs!$D$9,Inputs!$D$11))/CHOOSE(MATCH(Inputs!$B$3,{"weibull","lognormal","loglogistic"},0),Inputs!$F$7,Inputs!$F$9,Inputs!$F$11),TRUE))))</f>
        <v/>
      </c>
      <c r="D140">
        <f>IF(B140=0,1,IF(Inputs!$B$3="weibull",EXP(-(B140/CHOOSE(MATCH(Inputs!$B$3,{"weibull","lognormal","loglogistic"},0),Inputs!$F$8,Inputs!$F$10,Inputs!$F$12))^CHOOSE(MATCH(Inputs!$B$3,{"weibull","lognormal","loglogistic"},0),Inputs!$D$8,Inputs!$D$10,Inputs!$D$12)),IF(Inputs!$B$3="loglogistic",1/(1+(B140/CHOOSE(MATCH(Inputs!$B$3,{"weibull","lognormal","loglogistic"},0),Inputs!$F$8,Inputs!$F$10,Inputs!$F$12))^CHOOSE(MATCH(Inputs!$B$3,{"weibull","lognormal","loglogistic"},0),Inputs!$D$8,Inputs!$D$10,Inputs!$D$12)),1-NORM.S.DIST((LN(B140)-CHOOSE(MATCH(Inputs!$B$3,{"weibull","lognormal","loglogistic"},0),Inputs!$D$8,Inputs!$D$10,Inputs!$D$12))/CHOOSE(MATCH(Inputs!$B$3,{"weibull","lognormal","loglogistic"},0),Inputs!$F$8,Inputs!$F$10,Inputs!$F$12),TRUE))))</f>
        <v/>
      </c>
      <c r="E140">
        <f>(C139+C140)/2/12</f>
        <v/>
      </c>
      <c r="F140">
        <f>(D139+D140)/2/12</f>
        <v/>
      </c>
    </row>
    <row r="141">
      <c r="A141" t="n">
        <v>139</v>
      </c>
      <c r="B141">
        <f>A141/12</f>
        <v/>
      </c>
      <c r="C141">
        <f>IF(B141=0,1,IF(Inputs!$B$3="weibull",EXP(-(B141/CHOOSE(MATCH(Inputs!$B$3,{"weibull","lognormal","loglogistic"},0),Inputs!$F$7,Inputs!$F$9,Inputs!$F$11))^CHOOSE(MATCH(Inputs!$B$3,{"weibull","lognormal","loglogistic"},0),Inputs!$D$7,Inputs!$D$9,Inputs!$D$11)),IF(Inputs!$B$3="loglogistic",1/(1+(B141/CHOOSE(MATCH(Inputs!$B$3,{"weibull","lognormal","loglogistic"},0),Inputs!$F$7,Inputs!$F$9,Inputs!$F$11))^CHOOSE(MATCH(Inputs!$B$3,{"weibull","lognormal","loglogistic"},0),Inputs!$D$7,Inputs!$D$9,Inputs!$D$11)),1-NORM.S.DIST((LN(B141)-CHOOSE(MATCH(Inputs!$B$3,{"weibull","lognormal","loglogistic"},0),Inputs!$D$7,Inputs!$D$9,Inputs!$D$11))/CHOOSE(MATCH(Inputs!$B$3,{"weibull","lognormal","loglogistic"},0),Inputs!$F$7,Inputs!$F$9,Inputs!$F$11),TRUE))))</f>
        <v/>
      </c>
      <c r="D141">
        <f>IF(B141=0,1,IF(Inputs!$B$3="weibull",EXP(-(B141/CHOOSE(MATCH(Inputs!$B$3,{"weibull","lognormal","loglogistic"},0),Inputs!$F$8,Inputs!$F$10,Inputs!$F$12))^CHOOSE(MATCH(Inputs!$B$3,{"weibull","lognormal","loglogistic"},0),Inputs!$D$8,Inputs!$D$10,Inputs!$D$12)),IF(Inputs!$B$3="loglogistic",1/(1+(B141/CHOOSE(MATCH(Inputs!$B$3,{"weibull","lognormal","loglogistic"},0),Inputs!$F$8,Inputs!$F$10,Inputs!$F$12))^CHOOSE(MATCH(Inputs!$B$3,{"weibull","lognormal","loglogistic"},0),Inputs!$D$8,Inputs!$D$10,Inputs!$D$12)),1-NORM.S.DIST((LN(B141)-CHOOSE(MATCH(Inputs!$B$3,{"weibull","lognormal","loglogistic"},0),Inputs!$D$8,Inputs!$D$10,Inputs!$D$12))/CHOOSE(MATCH(Inputs!$B$3,{"weibull","lognormal","loglogistic"},0),Inputs!$F$8,Inputs!$F$10,Inputs!$F$12),TRUE))))</f>
        <v/>
      </c>
      <c r="E141">
        <f>(C140+C141)/2/12</f>
        <v/>
      </c>
      <c r="F141">
        <f>(D140+D141)/2/12</f>
        <v/>
      </c>
    </row>
    <row r="142">
      <c r="A142" t="n">
        <v>140</v>
      </c>
      <c r="B142">
        <f>A142/12</f>
        <v/>
      </c>
      <c r="C142">
        <f>IF(B142=0,1,IF(Inputs!$B$3="weibull",EXP(-(B142/CHOOSE(MATCH(Inputs!$B$3,{"weibull","lognormal","loglogistic"},0),Inputs!$F$7,Inputs!$F$9,Inputs!$F$11))^CHOOSE(MATCH(Inputs!$B$3,{"weibull","lognormal","loglogistic"},0),Inputs!$D$7,Inputs!$D$9,Inputs!$D$11)),IF(Inputs!$B$3="loglogistic",1/(1+(B142/CHOOSE(MATCH(Inputs!$B$3,{"weibull","lognormal","loglogistic"},0),Inputs!$F$7,Inputs!$F$9,Inputs!$F$11))^CHOOSE(MATCH(Inputs!$B$3,{"weibull","lognormal","loglogistic"},0),Inputs!$D$7,Inputs!$D$9,Inputs!$D$11)),1-NORM.S.DIST((LN(B142)-CHOOSE(MATCH(Inputs!$B$3,{"weibull","lognormal","loglogistic"},0),Inputs!$D$7,Inputs!$D$9,Inputs!$D$11))/CHOOSE(MATCH(Inputs!$B$3,{"weibull","lognormal","loglogistic"},0),Inputs!$F$7,Inputs!$F$9,Inputs!$F$11),TRUE))))</f>
        <v/>
      </c>
      <c r="D142">
        <f>IF(B142=0,1,IF(Inputs!$B$3="weibull",EXP(-(B142/CHOOSE(MATCH(Inputs!$B$3,{"weibull","lognormal","loglogistic"},0),Inputs!$F$8,Inputs!$F$10,Inputs!$F$12))^CHOOSE(MATCH(Inputs!$B$3,{"weibull","lognormal","loglogistic"},0),Inputs!$D$8,Inputs!$D$10,Inputs!$D$12)),IF(Inputs!$B$3="loglogistic",1/(1+(B142/CHOOSE(MATCH(Inputs!$B$3,{"weibull","lognormal","loglogistic"},0),Inputs!$F$8,Inputs!$F$10,Inputs!$F$12))^CHOOSE(MATCH(Inputs!$B$3,{"weibull","lognormal","loglogistic"},0),Inputs!$D$8,Inputs!$D$10,Inputs!$D$12)),1-NORM.S.DIST((LN(B142)-CHOOSE(MATCH(Inputs!$B$3,{"weibull","lognormal","loglogistic"},0),Inputs!$D$8,Inputs!$D$10,Inputs!$D$12))/CHOOSE(MATCH(Inputs!$B$3,{"weibull","lognormal","loglogistic"},0),Inputs!$F$8,Inputs!$F$10,Inputs!$F$12),TRUE))))</f>
        <v/>
      </c>
      <c r="E142">
        <f>(C141+C142)/2/12</f>
        <v/>
      </c>
      <c r="F142">
        <f>(D141+D142)/2/12</f>
        <v/>
      </c>
    </row>
    <row r="143">
      <c r="A143" t="n">
        <v>141</v>
      </c>
      <c r="B143">
        <f>A143/12</f>
        <v/>
      </c>
      <c r="C143">
        <f>IF(B143=0,1,IF(Inputs!$B$3="weibull",EXP(-(B143/CHOOSE(MATCH(Inputs!$B$3,{"weibull","lognormal","loglogistic"},0),Inputs!$F$7,Inputs!$F$9,Inputs!$F$11))^CHOOSE(MATCH(Inputs!$B$3,{"weibull","lognormal","loglogistic"},0),Inputs!$D$7,Inputs!$D$9,Inputs!$D$11)),IF(Inputs!$B$3="loglogistic",1/(1+(B143/CHOOSE(MATCH(Inputs!$B$3,{"weibull","lognormal","loglogistic"},0),Inputs!$F$7,Inputs!$F$9,Inputs!$F$11))^CHOOSE(MATCH(Inputs!$B$3,{"weibull","lognormal","loglogistic"},0),Inputs!$D$7,Inputs!$D$9,Inputs!$D$11)),1-NORM.S.DIST((LN(B143)-CHOOSE(MATCH(Inputs!$B$3,{"weibull","lognormal","loglogistic"},0),Inputs!$D$7,Inputs!$D$9,Inputs!$D$11))/CHOOSE(MATCH(Inputs!$B$3,{"weibull","lognormal","loglogistic"},0),Inputs!$F$7,Inputs!$F$9,Inputs!$F$11),TRUE))))</f>
        <v/>
      </c>
      <c r="D143">
        <f>IF(B143=0,1,IF(Inputs!$B$3="weibull",EXP(-(B143/CHOOSE(MATCH(Inputs!$B$3,{"weibull","lognormal","loglogistic"},0),Inputs!$F$8,Inputs!$F$10,Inputs!$F$12))^CHOOSE(MATCH(Inputs!$B$3,{"weibull","lognormal","loglogistic"},0),Inputs!$D$8,Inputs!$D$10,Inputs!$D$12)),IF(Inputs!$B$3="loglogistic",1/(1+(B143/CHOOSE(MATCH(Inputs!$B$3,{"weibull","lognormal","loglogistic"},0),Inputs!$F$8,Inputs!$F$10,Inputs!$F$12))^CHOOSE(MATCH(Inputs!$B$3,{"weibull","lognormal","loglogistic"},0),Inputs!$D$8,Inputs!$D$10,Inputs!$D$12)),1-NORM.S.DIST((LN(B143)-CHOOSE(MATCH(Inputs!$B$3,{"weibull","lognormal","loglogistic"},0),Inputs!$D$8,Inputs!$D$10,Inputs!$D$12))/CHOOSE(MATCH(Inputs!$B$3,{"weibull","lognormal","loglogistic"},0),Inputs!$F$8,Inputs!$F$10,Inputs!$F$12),TRUE))))</f>
        <v/>
      </c>
      <c r="E143">
        <f>(C142+C143)/2/12</f>
        <v/>
      </c>
      <c r="F143">
        <f>(D142+D143)/2/12</f>
        <v/>
      </c>
    </row>
    <row r="144">
      <c r="A144" t="n">
        <v>142</v>
      </c>
      <c r="B144">
        <f>A144/12</f>
        <v/>
      </c>
      <c r="C144">
        <f>IF(B144=0,1,IF(Inputs!$B$3="weibull",EXP(-(B144/CHOOSE(MATCH(Inputs!$B$3,{"weibull","lognormal","loglogistic"},0),Inputs!$F$7,Inputs!$F$9,Inputs!$F$11))^CHOOSE(MATCH(Inputs!$B$3,{"weibull","lognormal","loglogistic"},0),Inputs!$D$7,Inputs!$D$9,Inputs!$D$11)),IF(Inputs!$B$3="loglogistic",1/(1+(B144/CHOOSE(MATCH(Inputs!$B$3,{"weibull","lognormal","loglogistic"},0),Inputs!$F$7,Inputs!$F$9,Inputs!$F$11))^CHOOSE(MATCH(Inputs!$B$3,{"weibull","lognormal","loglogistic"},0),Inputs!$D$7,Inputs!$D$9,Inputs!$D$11)),1-NORM.S.DIST((LN(B144)-CHOOSE(MATCH(Inputs!$B$3,{"weibull","lognormal","loglogistic"},0),Inputs!$D$7,Inputs!$D$9,Inputs!$D$11))/CHOOSE(MATCH(Inputs!$B$3,{"weibull","lognormal","loglogistic"},0),Inputs!$F$7,Inputs!$F$9,Inputs!$F$11),TRUE))))</f>
        <v/>
      </c>
      <c r="D144">
        <f>IF(B144=0,1,IF(Inputs!$B$3="weibull",EXP(-(B144/CHOOSE(MATCH(Inputs!$B$3,{"weibull","lognormal","loglogistic"},0),Inputs!$F$8,Inputs!$F$10,Inputs!$F$12))^CHOOSE(MATCH(Inputs!$B$3,{"weibull","lognormal","loglogistic"},0),Inputs!$D$8,Inputs!$D$10,Inputs!$D$12)),IF(Inputs!$B$3="loglogistic",1/(1+(B144/CHOOSE(MATCH(Inputs!$B$3,{"weibull","lognormal","loglogistic"},0),Inputs!$F$8,Inputs!$F$10,Inputs!$F$12))^CHOOSE(MATCH(Inputs!$B$3,{"weibull","lognormal","loglogistic"},0),Inputs!$D$8,Inputs!$D$10,Inputs!$D$12)),1-NORM.S.DIST((LN(B144)-CHOOSE(MATCH(Inputs!$B$3,{"weibull","lognormal","loglogistic"},0),Inputs!$D$8,Inputs!$D$10,Inputs!$D$12))/CHOOSE(MATCH(Inputs!$B$3,{"weibull","lognormal","loglogistic"},0),Inputs!$F$8,Inputs!$F$10,Inputs!$F$12),TRUE))))</f>
        <v/>
      </c>
      <c r="E144">
        <f>(C143+C144)/2/12</f>
        <v/>
      </c>
      <c r="F144">
        <f>(D143+D144)/2/12</f>
        <v/>
      </c>
    </row>
    <row r="145">
      <c r="A145" t="n">
        <v>143</v>
      </c>
      <c r="B145">
        <f>A145/12</f>
        <v/>
      </c>
      <c r="C145">
        <f>IF(B145=0,1,IF(Inputs!$B$3="weibull",EXP(-(B145/CHOOSE(MATCH(Inputs!$B$3,{"weibull","lognormal","loglogistic"},0),Inputs!$F$7,Inputs!$F$9,Inputs!$F$11))^CHOOSE(MATCH(Inputs!$B$3,{"weibull","lognormal","loglogistic"},0),Inputs!$D$7,Inputs!$D$9,Inputs!$D$11)),IF(Inputs!$B$3="loglogistic",1/(1+(B145/CHOOSE(MATCH(Inputs!$B$3,{"weibull","lognormal","loglogistic"},0),Inputs!$F$7,Inputs!$F$9,Inputs!$F$11))^CHOOSE(MATCH(Inputs!$B$3,{"weibull","lognormal","loglogistic"},0),Inputs!$D$7,Inputs!$D$9,Inputs!$D$11)),1-NORM.S.DIST((LN(B145)-CHOOSE(MATCH(Inputs!$B$3,{"weibull","lognormal","loglogistic"},0),Inputs!$D$7,Inputs!$D$9,Inputs!$D$11))/CHOOSE(MATCH(Inputs!$B$3,{"weibull","lognormal","loglogistic"},0),Inputs!$F$7,Inputs!$F$9,Inputs!$F$11),TRUE))))</f>
        <v/>
      </c>
      <c r="D145">
        <f>IF(B145=0,1,IF(Inputs!$B$3="weibull",EXP(-(B145/CHOOSE(MATCH(Inputs!$B$3,{"weibull","lognormal","loglogistic"},0),Inputs!$F$8,Inputs!$F$10,Inputs!$F$12))^CHOOSE(MATCH(Inputs!$B$3,{"weibull","lognormal","loglogistic"},0),Inputs!$D$8,Inputs!$D$10,Inputs!$D$12)),IF(Inputs!$B$3="loglogistic",1/(1+(B145/CHOOSE(MATCH(Inputs!$B$3,{"weibull","lognormal","loglogistic"},0),Inputs!$F$8,Inputs!$F$10,Inputs!$F$12))^CHOOSE(MATCH(Inputs!$B$3,{"weibull","lognormal","loglogistic"},0),Inputs!$D$8,Inputs!$D$10,Inputs!$D$12)),1-NORM.S.DIST((LN(B145)-CHOOSE(MATCH(Inputs!$B$3,{"weibull","lognormal","loglogistic"},0),Inputs!$D$8,Inputs!$D$10,Inputs!$D$12))/CHOOSE(MATCH(Inputs!$B$3,{"weibull","lognormal","loglogistic"},0),Inputs!$F$8,Inputs!$F$10,Inputs!$F$12),TRUE))))</f>
        <v/>
      </c>
      <c r="E145">
        <f>(C144+C145)/2/12</f>
        <v/>
      </c>
      <c r="F145">
        <f>(D144+D145)/2/12</f>
        <v/>
      </c>
    </row>
    <row r="146">
      <c r="A146" t="n">
        <v>144</v>
      </c>
      <c r="B146">
        <f>A146/12</f>
        <v/>
      </c>
      <c r="C146">
        <f>IF(B146=0,1,IF(Inputs!$B$3="weibull",EXP(-(B146/CHOOSE(MATCH(Inputs!$B$3,{"weibull","lognormal","loglogistic"},0),Inputs!$F$7,Inputs!$F$9,Inputs!$F$11))^CHOOSE(MATCH(Inputs!$B$3,{"weibull","lognormal","loglogistic"},0),Inputs!$D$7,Inputs!$D$9,Inputs!$D$11)),IF(Inputs!$B$3="loglogistic",1/(1+(B146/CHOOSE(MATCH(Inputs!$B$3,{"weibull","lognormal","loglogistic"},0),Inputs!$F$7,Inputs!$F$9,Inputs!$F$11))^CHOOSE(MATCH(Inputs!$B$3,{"weibull","lognormal","loglogistic"},0),Inputs!$D$7,Inputs!$D$9,Inputs!$D$11)),1-NORM.S.DIST((LN(B146)-CHOOSE(MATCH(Inputs!$B$3,{"weibull","lognormal","loglogistic"},0),Inputs!$D$7,Inputs!$D$9,Inputs!$D$11))/CHOOSE(MATCH(Inputs!$B$3,{"weibull","lognormal","loglogistic"},0),Inputs!$F$7,Inputs!$F$9,Inputs!$F$11),TRUE))))</f>
        <v/>
      </c>
      <c r="D146">
        <f>IF(B146=0,1,IF(Inputs!$B$3="weibull",EXP(-(B146/CHOOSE(MATCH(Inputs!$B$3,{"weibull","lognormal","loglogistic"},0),Inputs!$F$8,Inputs!$F$10,Inputs!$F$12))^CHOOSE(MATCH(Inputs!$B$3,{"weibull","lognormal","loglogistic"},0),Inputs!$D$8,Inputs!$D$10,Inputs!$D$12)),IF(Inputs!$B$3="loglogistic",1/(1+(B146/CHOOSE(MATCH(Inputs!$B$3,{"weibull","lognormal","loglogistic"},0),Inputs!$F$8,Inputs!$F$10,Inputs!$F$12))^CHOOSE(MATCH(Inputs!$B$3,{"weibull","lognormal","loglogistic"},0),Inputs!$D$8,Inputs!$D$10,Inputs!$D$12)),1-NORM.S.DIST((LN(B146)-CHOOSE(MATCH(Inputs!$B$3,{"weibull","lognormal","loglogistic"},0),Inputs!$D$8,Inputs!$D$10,Inputs!$D$12))/CHOOSE(MATCH(Inputs!$B$3,{"weibull","lognormal","loglogistic"},0),Inputs!$F$8,Inputs!$F$10,Inputs!$F$12),TRUE))))</f>
        <v/>
      </c>
      <c r="E146">
        <f>(C145+C146)/2/12</f>
        <v/>
      </c>
      <c r="F146">
        <f>(D145+D146)/2/12</f>
        <v/>
      </c>
    </row>
    <row r="147">
      <c r="A147" t="n">
        <v>145</v>
      </c>
      <c r="B147">
        <f>A147/12</f>
        <v/>
      </c>
      <c r="C147">
        <f>IF(B147=0,1,IF(Inputs!$B$3="weibull",EXP(-(B147/CHOOSE(MATCH(Inputs!$B$3,{"weibull","lognormal","loglogistic"},0),Inputs!$F$7,Inputs!$F$9,Inputs!$F$11))^CHOOSE(MATCH(Inputs!$B$3,{"weibull","lognormal","loglogistic"},0),Inputs!$D$7,Inputs!$D$9,Inputs!$D$11)),IF(Inputs!$B$3="loglogistic",1/(1+(B147/CHOOSE(MATCH(Inputs!$B$3,{"weibull","lognormal","loglogistic"},0),Inputs!$F$7,Inputs!$F$9,Inputs!$F$11))^CHOOSE(MATCH(Inputs!$B$3,{"weibull","lognormal","loglogistic"},0),Inputs!$D$7,Inputs!$D$9,Inputs!$D$11)),1-NORM.S.DIST((LN(B147)-CHOOSE(MATCH(Inputs!$B$3,{"weibull","lognormal","loglogistic"},0),Inputs!$D$7,Inputs!$D$9,Inputs!$D$11))/CHOOSE(MATCH(Inputs!$B$3,{"weibull","lognormal","loglogistic"},0),Inputs!$F$7,Inputs!$F$9,Inputs!$F$11),TRUE))))</f>
        <v/>
      </c>
      <c r="D147">
        <f>IF(B147=0,1,IF(Inputs!$B$3="weibull",EXP(-(B147/CHOOSE(MATCH(Inputs!$B$3,{"weibull","lognormal","loglogistic"},0),Inputs!$F$8,Inputs!$F$10,Inputs!$F$12))^CHOOSE(MATCH(Inputs!$B$3,{"weibull","lognormal","loglogistic"},0),Inputs!$D$8,Inputs!$D$10,Inputs!$D$12)),IF(Inputs!$B$3="loglogistic",1/(1+(B147/CHOOSE(MATCH(Inputs!$B$3,{"weibull","lognormal","loglogistic"},0),Inputs!$F$8,Inputs!$F$10,Inputs!$F$12))^CHOOSE(MATCH(Inputs!$B$3,{"weibull","lognormal","loglogistic"},0),Inputs!$D$8,Inputs!$D$10,Inputs!$D$12)),1-NORM.S.DIST((LN(B147)-CHOOSE(MATCH(Inputs!$B$3,{"weibull","lognormal","loglogistic"},0),Inputs!$D$8,Inputs!$D$10,Inputs!$D$12))/CHOOSE(MATCH(Inputs!$B$3,{"weibull","lognormal","loglogistic"},0),Inputs!$F$8,Inputs!$F$10,Inputs!$F$12),TRUE))))</f>
        <v/>
      </c>
      <c r="E147">
        <f>(C146+C147)/2/12</f>
        <v/>
      </c>
      <c r="F147">
        <f>(D146+D147)/2/12</f>
        <v/>
      </c>
    </row>
    <row r="148">
      <c r="A148" t="n">
        <v>146</v>
      </c>
      <c r="B148">
        <f>A148/12</f>
        <v/>
      </c>
      <c r="C148">
        <f>IF(B148=0,1,IF(Inputs!$B$3="weibull",EXP(-(B148/CHOOSE(MATCH(Inputs!$B$3,{"weibull","lognormal","loglogistic"},0),Inputs!$F$7,Inputs!$F$9,Inputs!$F$11))^CHOOSE(MATCH(Inputs!$B$3,{"weibull","lognormal","loglogistic"},0),Inputs!$D$7,Inputs!$D$9,Inputs!$D$11)),IF(Inputs!$B$3="loglogistic",1/(1+(B148/CHOOSE(MATCH(Inputs!$B$3,{"weibull","lognormal","loglogistic"},0),Inputs!$F$7,Inputs!$F$9,Inputs!$F$11))^CHOOSE(MATCH(Inputs!$B$3,{"weibull","lognormal","loglogistic"},0),Inputs!$D$7,Inputs!$D$9,Inputs!$D$11)),1-NORM.S.DIST((LN(B148)-CHOOSE(MATCH(Inputs!$B$3,{"weibull","lognormal","loglogistic"},0),Inputs!$D$7,Inputs!$D$9,Inputs!$D$11))/CHOOSE(MATCH(Inputs!$B$3,{"weibull","lognormal","loglogistic"},0),Inputs!$F$7,Inputs!$F$9,Inputs!$F$11),TRUE))))</f>
        <v/>
      </c>
      <c r="D148">
        <f>IF(B148=0,1,IF(Inputs!$B$3="weibull",EXP(-(B148/CHOOSE(MATCH(Inputs!$B$3,{"weibull","lognormal","loglogistic"},0),Inputs!$F$8,Inputs!$F$10,Inputs!$F$12))^CHOOSE(MATCH(Inputs!$B$3,{"weibull","lognormal","loglogistic"},0),Inputs!$D$8,Inputs!$D$10,Inputs!$D$12)),IF(Inputs!$B$3="loglogistic",1/(1+(B148/CHOOSE(MATCH(Inputs!$B$3,{"weibull","lognormal","loglogistic"},0),Inputs!$F$8,Inputs!$F$10,Inputs!$F$12))^CHOOSE(MATCH(Inputs!$B$3,{"weibull","lognormal","loglogistic"},0),Inputs!$D$8,Inputs!$D$10,Inputs!$D$12)),1-NORM.S.DIST((LN(B148)-CHOOSE(MATCH(Inputs!$B$3,{"weibull","lognormal","loglogistic"},0),Inputs!$D$8,Inputs!$D$10,Inputs!$D$12))/CHOOSE(MATCH(Inputs!$B$3,{"weibull","lognormal","loglogistic"},0),Inputs!$F$8,Inputs!$F$10,Inputs!$F$12),TRUE))))</f>
        <v/>
      </c>
      <c r="E148">
        <f>(C147+C148)/2/12</f>
        <v/>
      </c>
      <c r="F148">
        <f>(D147+D148)/2/12</f>
        <v/>
      </c>
    </row>
    <row r="149">
      <c r="A149" t="n">
        <v>147</v>
      </c>
      <c r="B149">
        <f>A149/12</f>
        <v/>
      </c>
      <c r="C149">
        <f>IF(B149=0,1,IF(Inputs!$B$3="weibull",EXP(-(B149/CHOOSE(MATCH(Inputs!$B$3,{"weibull","lognormal","loglogistic"},0),Inputs!$F$7,Inputs!$F$9,Inputs!$F$11))^CHOOSE(MATCH(Inputs!$B$3,{"weibull","lognormal","loglogistic"},0),Inputs!$D$7,Inputs!$D$9,Inputs!$D$11)),IF(Inputs!$B$3="loglogistic",1/(1+(B149/CHOOSE(MATCH(Inputs!$B$3,{"weibull","lognormal","loglogistic"},0),Inputs!$F$7,Inputs!$F$9,Inputs!$F$11))^CHOOSE(MATCH(Inputs!$B$3,{"weibull","lognormal","loglogistic"},0),Inputs!$D$7,Inputs!$D$9,Inputs!$D$11)),1-NORM.S.DIST((LN(B149)-CHOOSE(MATCH(Inputs!$B$3,{"weibull","lognormal","loglogistic"},0),Inputs!$D$7,Inputs!$D$9,Inputs!$D$11))/CHOOSE(MATCH(Inputs!$B$3,{"weibull","lognormal","loglogistic"},0),Inputs!$F$7,Inputs!$F$9,Inputs!$F$11),TRUE))))</f>
        <v/>
      </c>
      <c r="D149">
        <f>IF(B149=0,1,IF(Inputs!$B$3="weibull",EXP(-(B149/CHOOSE(MATCH(Inputs!$B$3,{"weibull","lognormal","loglogistic"},0),Inputs!$F$8,Inputs!$F$10,Inputs!$F$12))^CHOOSE(MATCH(Inputs!$B$3,{"weibull","lognormal","loglogistic"},0),Inputs!$D$8,Inputs!$D$10,Inputs!$D$12)),IF(Inputs!$B$3="loglogistic",1/(1+(B149/CHOOSE(MATCH(Inputs!$B$3,{"weibull","lognormal","loglogistic"},0),Inputs!$F$8,Inputs!$F$10,Inputs!$F$12))^CHOOSE(MATCH(Inputs!$B$3,{"weibull","lognormal","loglogistic"},0),Inputs!$D$8,Inputs!$D$10,Inputs!$D$12)),1-NORM.S.DIST((LN(B149)-CHOOSE(MATCH(Inputs!$B$3,{"weibull","lognormal","loglogistic"},0),Inputs!$D$8,Inputs!$D$10,Inputs!$D$12))/CHOOSE(MATCH(Inputs!$B$3,{"weibull","lognormal","loglogistic"},0),Inputs!$F$8,Inputs!$F$10,Inputs!$F$12),TRUE))))</f>
        <v/>
      </c>
      <c r="E149">
        <f>(C148+C149)/2/12</f>
        <v/>
      </c>
      <c r="F149">
        <f>(D148+D149)/2/12</f>
        <v/>
      </c>
    </row>
    <row r="150">
      <c r="A150" t="n">
        <v>148</v>
      </c>
      <c r="B150">
        <f>A150/12</f>
        <v/>
      </c>
      <c r="C150">
        <f>IF(B150=0,1,IF(Inputs!$B$3="weibull",EXP(-(B150/CHOOSE(MATCH(Inputs!$B$3,{"weibull","lognormal","loglogistic"},0),Inputs!$F$7,Inputs!$F$9,Inputs!$F$11))^CHOOSE(MATCH(Inputs!$B$3,{"weibull","lognormal","loglogistic"},0),Inputs!$D$7,Inputs!$D$9,Inputs!$D$11)),IF(Inputs!$B$3="loglogistic",1/(1+(B150/CHOOSE(MATCH(Inputs!$B$3,{"weibull","lognormal","loglogistic"},0),Inputs!$F$7,Inputs!$F$9,Inputs!$F$11))^CHOOSE(MATCH(Inputs!$B$3,{"weibull","lognormal","loglogistic"},0),Inputs!$D$7,Inputs!$D$9,Inputs!$D$11)),1-NORM.S.DIST((LN(B150)-CHOOSE(MATCH(Inputs!$B$3,{"weibull","lognormal","loglogistic"},0),Inputs!$D$7,Inputs!$D$9,Inputs!$D$11))/CHOOSE(MATCH(Inputs!$B$3,{"weibull","lognormal","loglogistic"},0),Inputs!$F$7,Inputs!$F$9,Inputs!$F$11),TRUE))))</f>
        <v/>
      </c>
      <c r="D150">
        <f>IF(B150=0,1,IF(Inputs!$B$3="weibull",EXP(-(B150/CHOOSE(MATCH(Inputs!$B$3,{"weibull","lognormal","loglogistic"},0),Inputs!$F$8,Inputs!$F$10,Inputs!$F$12))^CHOOSE(MATCH(Inputs!$B$3,{"weibull","lognormal","loglogistic"},0),Inputs!$D$8,Inputs!$D$10,Inputs!$D$12)),IF(Inputs!$B$3="loglogistic",1/(1+(B150/CHOOSE(MATCH(Inputs!$B$3,{"weibull","lognormal","loglogistic"},0),Inputs!$F$8,Inputs!$F$10,Inputs!$F$12))^CHOOSE(MATCH(Inputs!$B$3,{"weibull","lognormal","loglogistic"},0),Inputs!$D$8,Inputs!$D$10,Inputs!$D$12)),1-NORM.S.DIST((LN(B150)-CHOOSE(MATCH(Inputs!$B$3,{"weibull","lognormal","loglogistic"},0),Inputs!$D$8,Inputs!$D$10,Inputs!$D$12))/CHOOSE(MATCH(Inputs!$B$3,{"weibull","lognormal","loglogistic"},0),Inputs!$F$8,Inputs!$F$10,Inputs!$F$12),TRUE))))</f>
        <v/>
      </c>
      <c r="E150">
        <f>(C149+C150)/2/12</f>
        <v/>
      </c>
      <c r="F150">
        <f>(D149+D150)/2/12</f>
        <v/>
      </c>
    </row>
    <row r="151">
      <c r="A151" t="n">
        <v>149</v>
      </c>
      <c r="B151">
        <f>A151/12</f>
        <v/>
      </c>
      <c r="C151">
        <f>IF(B151=0,1,IF(Inputs!$B$3="weibull",EXP(-(B151/CHOOSE(MATCH(Inputs!$B$3,{"weibull","lognormal","loglogistic"},0),Inputs!$F$7,Inputs!$F$9,Inputs!$F$11))^CHOOSE(MATCH(Inputs!$B$3,{"weibull","lognormal","loglogistic"},0),Inputs!$D$7,Inputs!$D$9,Inputs!$D$11)),IF(Inputs!$B$3="loglogistic",1/(1+(B151/CHOOSE(MATCH(Inputs!$B$3,{"weibull","lognormal","loglogistic"},0),Inputs!$F$7,Inputs!$F$9,Inputs!$F$11))^CHOOSE(MATCH(Inputs!$B$3,{"weibull","lognormal","loglogistic"},0),Inputs!$D$7,Inputs!$D$9,Inputs!$D$11)),1-NORM.S.DIST((LN(B151)-CHOOSE(MATCH(Inputs!$B$3,{"weibull","lognormal","loglogistic"},0),Inputs!$D$7,Inputs!$D$9,Inputs!$D$11))/CHOOSE(MATCH(Inputs!$B$3,{"weibull","lognormal","loglogistic"},0),Inputs!$F$7,Inputs!$F$9,Inputs!$F$11),TRUE))))</f>
        <v/>
      </c>
      <c r="D151">
        <f>IF(B151=0,1,IF(Inputs!$B$3="weibull",EXP(-(B151/CHOOSE(MATCH(Inputs!$B$3,{"weibull","lognormal","loglogistic"},0),Inputs!$F$8,Inputs!$F$10,Inputs!$F$12))^CHOOSE(MATCH(Inputs!$B$3,{"weibull","lognormal","loglogistic"},0),Inputs!$D$8,Inputs!$D$10,Inputs!$D$12)),IF(Inputs!$B$3="loglogistic",1/(1+(B151/CHOOSE(MATCH(Inputs!$B$3,{"weibull","lognormal","loglogistic"},0),Inputs!$F$8,Inputs!$F$10,Inputs!$F$12))^CHOOSE(MATCH(Inputs!$B$3,{"weibull","lognormal","loglogistic"},0),Inputs!$D$8,Inputs!$D$10,Inputs!$D$12)),1-NORM.S.DIST((LN(B151)-CHOOSE(MATCH(Inputs!$B$3,{"weibull","lognormal","loglogistic"},0),Inputs!$D$8,Inputs!$D$10,Inputs!$D$12))/CHOOSE(MATCH(Inputs!$B$3,{"weibull","lognormal","loglogistic"},0),Inputs!$F$8,Inputs!$F$10,Inputs!$F$12),TRUE))))</f>
        <v/>
      </c>
      <c r="E151">
        <f>(C150+C151)/2/12</f>
        <v/>
      </c>
      <c r="F151">
        <f>(D150+D151)/2/12</f>
        <v/>
      </c>
    </row>
    <row r="152">
      <c r="A152" t="n">
        <v>150</v>
      </c>
      <c r="B152">
        <f>A152/12</f>
        <v/>
      </c>
      <c r="C152">
        <f>IF(B152=0,1,IF(Inputs!$B$3="weibull",EXP(-(B152/CHOOSE(MATCH(Inputs!$B$3,{"weibull","lognormal","loglogistic"},0),Inputs!$F$7,Inputs!$F$9,Inputs!$F$11))^CHOOSE(MATCH(Inputs!$B$3,{"weibull","lognormal","loglogistic"},0),Inputs!$D$7,Inputs!$D$9,Inputs!$D$11)),IF(Inputs!$B$3="loglogistic",1/(1+(B152/CHOOSE(MATCH(Inputs!$B$3,{"weibull","lognormal","loglogistic"},0),Inputs!$F$7,Inputs!$F$9,Inputs!$F$11))^CHOOSE(MATCH(Inputs!$B$3,{"weibull","lognormal","loglogistic"},0),Inputs!$D$7,Inputs!$D$9,Inputs!$D$11)),1-NORM.S.DIST((LN(B152)-CHOOSE(MATCH(Inputs!$B$3,{"weibull","lognormal","loglogistic"},0),Inputs!$D$7,Inputs!$D$9,Inputs!$D$11))/CHOOSE(MATCH(Inputs!$B$3,{"weibull","lognormal","loglogistic"},0),Inputs!$F$7,Inputs!$F$9,Inputs!$F$11),TRUE))))</f>
        <v/>
      </c>
      <c r="D152">
        <f>IF(B152=0,1,IF(Inputs!$B$3="weibull",EXP(-(B152/CHOOSE(MATCH(Inputs!$B$3,{"weibull","lognormal","loglogistic"},0),Inputs!$F$8,Inputs!$F$10,Inputs!$F$12))^CHOOSE(MATCH(Inputs!$B$3,{"weibull","lognormal","loglogistic"},0),Inputs!$D$8,Inputs!$D$10,Inputs!$D$12)),IF(Inputs!$B$3="loglogistic",1/(1+(B152/CHOOSE(MATCH(Inputs!$B$3,{"weibull","lognormal","loglogistic"},0),Inputs!$F$8,Inputs!$F$10,Inputs!$F$12))^CHOOSE(MATCH(Inputs!$B$3,{"weibull","lognormal","loglogistic"},0),Inputs!$D$8,Inputs!$D$10,Inputs!$D$12)),1-NORM.S.DIST((LN(B152)-CHOOSE(MATCH(Inputs!$B$3,{"weibull","lognormal","loglogistic"},0),Inputs!$D$8,Inputs!$D$10,Inputs!$D$12))/CHOOSE(MATCH(Inputs!$B$3,{"weibull","lognormal","loglogistic"},0),Inputs!$F$8,Inputs!$F$10,Inputs!$F$12),TRUE))))</f>
        <v/>
      </c>
      <c r="E152">
        <f>(C151+C152)/2/12</f>
        <v/>
      </c>
      <c r="F152">
        <f>(D151+D152)/2/12</f>
        <v/>
      </c>
    </row>
    <row r="153">
      <c r="A153" t="n">
        <v>151</v>
      </c>
      <c r="B153">
        <f>A153/12</f>
        <v/>
      </c>
      <c r="C153">
        <f>IF(B153=0,1,IF(Inputs!$B$3="weibull",EXP(-(B153/CHOOSE(MATCH(Inputs!$B$3,{"weibull","lognormal","loglogistic"},0),Inputs!$F$7,Inputs!$F$9,Inputs!$F$11))^CHOOSE(MATCH(Inputs!$B$3,{"weibull","lognormal","loglogistic"},0),Inputs!$D$7,Inputs!$D$9,Inputs!$D$11)),IF(Inputs!$B$3="loglogistic",1/(1+(B153/CHOOSE(MATCH(Inputs!$B$3,{"weibull","lognormal","loglogistic"},0),Inputs!$F$7,Inputs!$F$9,Inputs!$F$11))^CHOOSE(MATCH(Inputs!$B$3,{"weibull","lognormal","loglogistic"},0),Inputs!$D$7,Inputs!$D$9,Inputs!$D$11)),1-NORM.S.DIST((LN(B153)-CHOOSE(MATCH(Inputs!$B$3,{"weibull","lognormal","loglogistic"},0),Inputs!$D$7,Inputs!$D$9,Inputs!$D$11))/CHOOSE(MATCH(Inputs!$B$3,{"weibull","lognormal","loglogistic"},0),Inputs!$F$7,Inputs!$F$9,Inputs!$F$11),TRUE))))</f>
        <v/>
      </c>
      <c r="D153">
        <f>IF(B153=0,1,IF(Inputs!$B$3="weibull",EXP(-(B153/CHOOSE(MATCH(Inputs!$B$3,{"weibull","lognormal","loglogistic"},0),Inputs!$F$8,Inputs!$F$10,Inputs!$F$12))^CHOOSE(MATCH(Inputs!$B$3,{"weibull","lognormal","loglogistic"},0),Inputs!$D$8,Inputs!$D$10,Inputs!$D$12)),IF(Inputs!$B$3="loglogistic",1/(1+(B153/CHOOSE(MATCH(Inputs!$B$3,{"weibull","lognormal","loglogistic"},0),Inputs!$F$8,Inputs!$F$10,Inputs!$F$12))^CHOOSE(MATCH(Inputs!$B$3,{"weibull","lognormal","loglogistic"},0),Inputs!$D$8,Inputs!$D$10,Inputs!$D$12)),1-NORM.S.DIST((LN(B153)-CHOOSE(MATCH(Inputs!$B$3,{"weibull","lognormal","loglogistic"},0),Inputs!$D$8,Inputs!$D$10,Inputs!$D$12))/CHOOSE(MATCH(Inputs!$B$3,{"weibull","lognormal","loglogistic"},0),Inputs!$F$8,Inputs!$F$10,Inputs!$F$12),TRUE))))</f>
        <v/>
      </c>
      <c r="E153">
        <f>(C152+C153)/2/12</f>
        <v/>
      </c>
      <c r="F153">
        <f>(D152+D153)/2/12</f>
        <v/>
      </c>
    </row>
    <row r="154">
      <c r="A154" t="n">
        <v>152</v>
      </c>
      <c r="B154">
        <f>A154/12</f>
        <v/>
      </c>
      <c r="C154">
        <f>IF(B154=0,1,IF(Inputs!$B$3="weibull",EXP(-(B154/CHOOSE(MATCH(Inputs!$B$3,{"weibull","lognormal","loglogistic"},0),Inputs!$F$7,Inputs!$F$9,Inputs!$F$11))^CHOOSE(MATCH(Inputs!$B$3,{"weibull","lognormal","loglogistic"},0),Inputs!$D$7,Inputs!$D$9,Inputs!$D$11)),IF(Inputs!$B$3="loglogistic",1/(1+(B154/CHOOSE(MATCH(Inputs!$B$3,{"weibull","lognormal","loglogistic"},0),Inputs!$F$7,Inputs!$F$9,Inputs!$F$11))^CHOOSE(MATCH(Inputs!$B$3,{"weibull","lognormal","loglogistic"},0),Inputs!$D$7,Inputs!$D$9,Inputs!$D$11)),1-NORM.S.DIST((LN(B154)-CHOOSE(MATCH(Inputs!$B$3,{"weibull","lognormal","loglogistic"},0),Inputs!$D$7,Inputs!$D$9,Inputs!$D$11))/CHOOSE(MATCH(Inputs!$B$3,{"weibull","lognormal","loglogistic"},0),Inputs!$F$7,Inputs!$F$9,Inputs!$F$11),TRUE))))</f>
        <v/>
      </c>
      <c r="D154">
        <f>IF(B154=0,1,IF(Inputs!$B$3="weibull",EXP(-(B154/CHOOSE(MATCH(Inputs!$B$3,{"weibull","lognormal","loglogistic"},0),Inputs!$F$8,Inputs!$F$10,Inputs!$F$12))^CHOOSE(MATCH(Inputs!$B$3,{"weibull","lognormal","loglogistic"},0),Inputs!$D$8,Inputs!$D$10,Inputs!$D$12)),IF(Inputs!$B$3="loglogistic",1/(1+(B154/CHOOSE(MATCH(Inputs!$B$3,{"weibull","lognormal","loglogistic"},0),Inputs!$F$8,Inputs!$F$10,Inputs!$F$12))^CHOOSE(MATCH(Inputs!$B$3,{"weibull","lognormal","loglogistic"},0),Inputs!$D$8,Inputs!$D$10,Inputs!$D$12)),1-NORM.S.DIST((LN(B154)-CHOOSE(MATCH(Inputs!$B$3,{"weibull","lognormal","loglogistic"},0),Inputs!$D$8,Inputs!$D$10,Inputs!$D$12))/CHOOSE(MATCH(Inputs!$B$3,{"weibull","lognormal","loglogistic"},0),Inputs!$F$8,Inputs!$F$10,Inputs!$F$12),TRUE))))</f>
        <v/>
      </c>
      <c r="E154">
        <f>(C153+C154)/2/12</f>
        <v/>
      </c>
      <c r="F154">
        <f>(D153+D154)/2/12</f>
        <v/>
      </c>
    </row>
    <row r="155">
      <c r="A155" t="n">
        <v>153</v>
      </c>
      <c r="B155">
        <f>A155/12</f>
        <v/>
      </c>
      <c r="C155">
        <f>IF(B155=0,1,IF(Inputs!$B$3="weibull",EXP(-(B155/CHOOSE(MATCH(Inputs!$B$3,{"weibull","lognormal","loglogistic"},0),Inputs!$F$7,Inputs!$F$9,Inputs!$F$11))^CHOOSE(MATCH(Inputs!$B$3,{"weibull","lognormal","loglogistic"},0),Inputs!$D$7,Inputs!$D$9,Inputs!$D$11)),IF(Inputs!$B$3="loglogistic",1/(1+(B155/CHOOSE(MATCH(Inputs!$B$3,{"weibull","lognormal","loglogistic"},0),Inputs!$F$7,Inputs!$F$9,Inputs!$F$11))^CHOOSE(MATCH(Inputs!$B$3,{"weibull","lognormal","loglogistic"},0),Inputs!$D$7,Inputs!$D$9,Inputs!$D$11)),1-NORM.S.DIST((LN(B155)-CHOOSE(MATCH(Inputs!$B$3,{"weibull","lognormal","loglogistic"},0),Inputs!$D$7,Inputs!$D$9,Inputs!$D$11))/CHOOSE(MATCH(Inputs!$B$3,{"weibull","lognormal","loglogistic"},0),Inputs!$F$7,Inputs!$F$9,Inputs!$F$11),TRUE))))</f>
        <v/>
      </c>
      <c r="D155">
        <f>IF(B155=0,1,IF(Inputs!$B$3="weibull",EXP(-(B155/CHOOSE(MATCH(Inputs!$B$3,{"weibull","lognormal","loglogistic"},0),Inputs!$F$8,Inputs!$F$10,Inputs!$F$12))^CHOOSE(MATCH(Inputs!$B$3,{"weibull","lognormal","loglogistic"},0),Inputs!$D$8,Inputs!$D$10,Inputs!$D$12)),IF(Inputs!$B$3="loglogistic",1/(1+(B155/CHOOSE(MATCH(Inputs!$B$3,{"weibull","lognormal","loglogistic"},0),Inputs!$F$8,Inputs!$F$10,Inputs!$F$12))^CHOOSE(MATCH(Inputs!$B$3,{"weibull","lognormal","loglogistic"},0),Inputs!$D$8,Inputs!$D$10,Inputs!$D$12)),1-NORM.S.DIST((LN(B155)-CHOOSE(MATCH(Inputs!$B$3,{"weibull","lognormal","loglogistic"},0),Inputs!$D$8,Inputs!$D$10,Inputs!$D$12))/CHOOSE(MATCH(Inputs!$B$3,{"weibull","lognormal","loglogistic"},0),Inputs!$F$8,Inputs!$F$10,Inputs!$F$12),TRUE))))</f>
        <v/>
      </c>
      <c r="E155">
        <f>(C154+C155)/2/12</f>
        <v/>
      </c>
      <c r="F155">
        <f>(D154+D155)/2/12</f>
        <v/>
      </c>
    </row>
    <row r="156">
      <c r="A156" t="n">
        <v>154</v>
      </c>
      <c r="B156">
        <f>A156/12</f>
        <v/>
      </c>
      <c r="C156">
        <f>IF(B156=0,1,IF(Inputs!$B$3="weibull",EXP(-(B156/CHOOSE(MATCH(Inputs!$B$3,{"weibull","lognormal","loglogistic"},0),Inputs!$F$7,Inputs!$F$9,Inputs!$F$11))^CHOOSE(MATCH(Inputs!$B$3,{"weibull","lognormal","loglogistic"},0),Inputs!$D$7,Inputs!$D$9,Inputs!$D$11)),IF(Inputs!$B$3="loglogistic",1/(1+(B156/CHOOSE(MATCH(Inputs!$B$3,{"weibull","lognormal","loglogistic"},0),Inputs!$F$7,Inputs!$F$9,Inputs!$F$11))^CHOOSE(MATCH(Inputs!$B$3,{"weibull","lognormal","loglogistic"},0),Inputs!$D$7,Inputs!$D$9,Inputs!$D$11)),1-NORM.S.DIST((LN(B156)-CHOOSE(MATCH(Inputs!$B$3,{"weibull","lognormal","loglogistic"},0),Inputs!$D$7,Inputs!$D$9,Inputs!$D$11))/CHOOSE(MATCH(Inputs!$B$3,{"weibull","lognormal","loglogistic"},0),Inputs!$F$7,Inputs!$F$9,Inputs!$F$11),TRUE))))</f>
        <v/>
      </c>
      <c r="D156">
        <f>IF(B156=0,1,IF(Inputs!$B$3="weibull",EXP(-(B156/CHOOSE(MATCH(Inputs!$B$3,{"weibull","lognormal","loglogistic"},0),Inputs!$F$8,Inputs!$F$10,Inputs!$F$12))^CHOOSE(MATCH(Inputs!$B$3,{"weibull","lognormal","loglogistic"},0),Inputs!$D$8,Inputs!$D$10,Inputs!$D$12)),IF(Inputs!$B$3="loglogistic",1/(1+(B156/CHOOSE(MATCH(Inputs!$B$3,{"weibull","lognormal","loglogistic"},0),Inputs!$F$8,Inputs!$F$10,Inputs!$F$12))^CHOOSE(MATCH(Inputs!$B$3,{"weibull","lognormal","loglogistic"},0),Inputs!$D$8,Inputs!$D$10,Inputs!$D$12)),1-NORM.S.DIST((LN(B156)-CHOOSE(MATCH(Inputs!$B$3,{"weibull","lognormal","loglogistic"},0),Inputs!$D$8,Inputs!$D$10,Inputs!$D$12))/CHOOSE(MATCH(Inputs!$B$3,{"weibull","lognormal","loglogistic"},0),Inputs!$F$8,Inputs!$F$10,Inputs!$F$12),TRUE))))</f>
        <v/>
      </c>
      <c r="E156">
        <f>(C155+C156)/2/12</f>
        <v/>
      </c>
      <c r="F156">
        <f>(D155+D156)/2/12</f>
        <v/>
      </c>
    </row>
    <row r="157">
      <c r="A157" t="n">
        <v>155</v>
      </c>
      <c r="B157">
        <f>A157/12</f>
        <v/>
      </c>
      <c r="C157">
        <f>IF(B157=0,1,IF(Inputs!$B$3="weibull",EXP(-(B157/CHOOSE(MATCH(Inputs!$B$3,{"weibull","lognormal","loglogistic"},0),Inputs!$F$7,Inputs!$F$9,Inputs!$F$11))^CHOOSE(MATCH(Inputs!$B$3,{"weibull","lognormal","loglogistic"},0),Inputs!$D$7,Inputs!$D$9,Inputs!$D$11)),IF(Inputs!$B$3="loglogistic",1/(1+(B157/CHOOSE(MATCH(Inputs!$B$3,{"weibull","lognormal","loglogistic"},0),Inputs!$F$7,Inputs!$F$9,Inputs!$F$11))^CHOOSE(MATCH(Inputs!$B$3,{"weibull","lognormal","loglogistic"},0),Inputs!$D$7,Inputs!$D$9,Inputs!$D$11)),1-NORM.S.DIST((LN(B157)-CHOOSE(MATCH(Inputs!$B$3,{"weibull","lognormal","loglogistic"},0),Inputs!$D$7,Inputs!$D$9,Inputs!$D$11))/CHOOSE(MATCH(Inputs!$B$3,{"weibull","lognormal","loglogistic"},0),Inputs!$F$7,Inputs!$F$9,Inputs!$F$11),TRUE))))</f>
        <v/>
      </c>
      <c r="D157">
        <f>IF(B157=0,1,IF(Inputs!$B$3="weibull",EXP(-(B157/CHOOSE(MATCH(Inputs!$B$3,{"weibull","lognormal","loglogistic"},0),Inputs!$F$8,Inputs!$F$10,Inputs!$F$12))^CHOOSE(MATCH(Inputs!$B$3,{"weibull","lognormal","loglogistic"},0),Inputs!$D$8,Inputs!$D$10,Inputs!$D$12)),IF(Inputs!$B$3="loglogistic",1/(1+(B157/CHOOSE(MATCH(Inputs!$B$3,{"weibull","lognormal","loglogistic"},0),Inputs!$F$8,Inputs!$F$10,Inputs!$F$12))^CHOOSE(MATCH(Inputs!$B$3,{"weibull","lognormal","loglogistic"},0),Inputs!$D$8,Inputs!$D$10,Inputs!$D$12)),1-NORM.S.DIST((LN(B157)-CHOOSE(MATCH(Inputs!$B$3,{"weibull","lognormal","loglogistic"},0),Inputs!$D$8,Inputs!$D$10,Inputs!$D$12))/CHOOSE(MATCH(Inputs!$B$3,{"weibull","lognormal","loglogistic"},0),Inputs!$F$8,Inputs!$F$10,Inputs!$F$12),TRUE))))</f>
        <v/>
      </c>
      <c r="E157">
        <f>(C156+C157)/2/12</f>
        <v/>
      </c>
      <c r="F157">
        <f>(D156+D157)/2/12</f>
        <v/>
      </c>
    </row>
    <row r="158">
      <c r="A158" t="n">
        <v>156</v>
      </c>
      <c r="B158">
        <f>A158/12</f>
        <v/>
      </c>
      <c r="C158">
        <f>IF(B158=0,1,IF(Inputs!$B$3="weibull",EXP(-(B158/CHOOSE(MATCH(Inputs!$B$3,{"weibull","lognormal","loglogistic"},0),Inputs!$F$7,Inputs!$F$9,Inputs!$F$11))^CHOOSE(MATCH(Inputs!$B$3,{"weibull","lognormal","loglogistic"},0),Inputs!$D$7,Inputs!$D$9,Inputs!$D$11)),IF(Inputs!$B$3="loglogistic",1/(1+(B158/CHOOSE(MATCH(Inputs!$B$3,{"weibull","lognormal","loglogistic"},0),Inputs!$F$7,Inputs!$F$9,Inputs!$F$11))^CHOOSE(MATCH(Inputs!$B$3,{"weibull","lognormal","loglogistic"},0),Inputs!$D$7,Inputs!$D$9,Inputs!$D$11)),1-NORM.S.DIST((LN(B158)-CHOOSE(MATCH(Inputs!$B$3,{"weibull","lognormal","loglogistic"},0),Inputs!$D$7,Inputs!$D$9,Inputs!$D$11))/CHOOSE(MATCH(Inputs!$B$3,{"weibull","lognormal","loglogistic"},0),Inputs!$F$7,Inputs!$F$9,Inputs!$F$11),TRUE))))</f>
        <v/>
      </c>
      <c r="D158">
        <f>IF(B158=0,1,IF(Inputs!$B$3="weibull",EXP(-(B158/CHOOSE(MATCH(Inputs!$B$3,{"weibull","lognormal","loglogistic"},0),Inputs!$F$8,Inputs!$F$10,Inputs!$F$12))^CHOOSE(MATCH(Inputs!$B$3,{"weibull","lognormal","loglogistic"},0),Inputs!$D$8,Inputs!$D$10,Inputs!$D$12)),IF(Inputs!$B$3="loglogistic",1/(1+(B158/CHOOSE(MATCH(Inputs!$B$3,{"weibull","lognormal","loglogistic"},0),Inputs!$F$8,Inputs!$F$10,Inputs!$F$12))^CHOOSE(MATCH(Inputs!$B$3,{"weibull","lognormal","loglogistic"},0),Inputs!$D$8,Inputs!$D$10,Inputs!$D$12)),1-NORM.S.DIST((LN(B158)-CHOOSE(MATCH(Inputs!$B$3,{"weibull","lognormal","loglogistic"},0),Inputs!$D$8,Inputs!$D$10,Inputs!$D$12))/CHOOSE(MATCH(Inputs!$B$3,{"weibull","lognormal","loglogistic"},0),Inputs!$F$8,Inputs!$F$10,Inputs!$F$12),TRUE))))</f>
        <v/>
      </c>
      <c r="E158">
        <f>(C157+C158)/2/12</f>
        <v/>
      </c>
      <c r="F158">
        <f>(D157+D158)/2/12</f>
        <v/>
      </c>
    </row>
    <row r="159">
      <c r="A159" t="n">
        <v>157</v>
      </c>
      <c r="B159">
        <f>A159/12</f>
        <v/>
      </c>
      <c r="C159">
        <f>IF(B159=0,1,IF(Inputs!$B$3="weibull",EXP(-(B159/CHOOSE(MATCH(Inputs!$B$3,{"weibull","lognormal","loglogistic"},0),Inputs!$F$7,Inputs!$F$9,Inputs!$F$11))^CHOOSE(MATCH(Inputs!$B$3,{"weibull","lognormal","loglogistic"},0),Inputs!$D$7,Inputs!$D$9,Inputs!$D$11)),IF(Inputs!$B$3="loglogistic",1/(1+(B159/CHOOSE(MATCH(Inputs!$B$3,{"weibull","lognormal","loglogistic"},0),Inputs!$F$7,Inputs!$F$9,Inputs!$F$11))^CHOOSE(MATCH(Inputs!$B$3,{"weibull","lognormal","loglogistic"},0),Inputs!$D$7,Inputs!$D$9,Inputs!$D$11)),1-NORM.S.DIST((LN(B159)-CHOOSE(MATCH(Inputs!$B$3,{"weibull","lognormal","loglogistic"},0),Inputs!$D$7,Inputs!$D$9,Inputs!$D$11))/CHOOSE(MATCH(Inputs!$B$3,{"weibull","lognormal","loglogistic"},0),Inputs!$F$7,Inputs!$F$9,Inputs!$F$11),TRUE))))</f>
        <v/>
      </c>
      <c r="D159">
        <f>IF(B159=0,1,IF(Inputs!$B$3="weibull",EXP(-(B159/CHOOSE(MATCH(Inputs!$B$3,{"weibull","lognormal","loglogistic"},0),Inputs!$F$8,Inputs!$F$10,Inputs!$F$12))^CHOOSE(MATCH(Inputs!$B$3,{"weibull","lognormal","loglogistic"},0),Inputs!$D$8,Inputs!$D$10,Inputs!$D$12)),IF(Inputs!$B$3="loglogistic",1/(1+(B159/CHOOSE(MATCH(Inputs!$B$3,{"weibull","lognormal","loglogistic"},0),Inputs!$F$8,Inputs!$F$10,Inputs!$F$12))^CHOOSE(MATCH(Inputs!$B$3,{"weibull","lognormal","loglogistic"},0),Inputs!$D$8,Inputs!$D$10,Inputs!$D$12)),1-NORM.S.DIST((LN(B159)-CHOOSE(MATCH(Inputs!$B$3,{"weibull","lognormal","loglogistic"},0),Inputs!$D$8,Inputs!$D$10,Inputs!$D$12))/CHOOSE(MATCH(Inputs!$B$3,{"weibull","lognormal","loglogistic"},0),Inputs!$F$8,Inputs!$F$10,Inputs!$F$12),TRUE))))</f>
        <v/>
      </c>
      <c r="E159">
        <f>(C158+C159)/2/12</f>
        <v/>
      </c>
      <c r="F159">
        <f>(D158+D159)/2/12</f>
        <v/>
      </c>
    </row>
    <row r="160">
      <c r="A160" t="n">
        <v>158</v>
      </c>
      <c r="B160">
        <f>A160/12</f>
        <v/>
      </c>
      <c r="C160">
        <f>IF(B160=0,1,IF(Inputs!$B$3="weibull",EXP(-(B160/CHOOSE(MATCH(Inputs!$B$3,{"weibull","lognormal","loglogistic"},0),Inputs!$F$7,Inputs!$F$9,Inputs!$F$11))^CHOOSE(MATCH(Inputs!$B$3,{"weibull","lognormal","loglogistic"},0),Inputs!$D$7,Inputs!$D$9,Inputs!$D$11)),IF(Inputs!$B$3="loglogistic",1/(1+(B160/CHOOSE(MATCH(Inputs!$B$3,{"weibull","lognormal","loglogistic"},0),Inputs!$F$7,Inputs!$F$9,Inputs!$F$11))^CHOOSE(MATCH(Inputs!$B$3,{"weibull","lognormal","loglogistic"},0),Inputs!$D$7,Inputs!$D$9,Inputs!$D$11)),1-NORM.S.DIST((LN(B160)-CHOOSE(MATCH(Inputs!$B$3,{"weibull","lognormal","loglogistic"},0),Inputs!$D$7,Inputs!$D$9,Inputs!$D$11))/CHOOSE(MATCH(Inputs!$B$3,{"weibull","lognormal","loglogistic"},0),Inputs!$F$7,Inputs!$F$9,Inputs!$F$11),TRUE))))</f>
        <v/>
      </c>
      <c r="D160">
        <f>IF(B160=0,1,IF(Inputs!$B$3="weibull",EXP(-(B160/CHOOSE(MATCH(Inputs!$B$3,{"weibull","lognormal","loglogistic"},0),Inputs!$F$8,Inputs!$F$10,Inputs!$F$12))^CHOOSE(MATCH(Inputs!$B$3,{"weibull","lognormal","loglogistic"},0),Inputs!$D$8,Inputs!$D$10,Inputs!$D$12)),IF(Inputs!$B$3="loglogistic",1/(1+(B160/CHOOSE(MATCH(Inputs!$B$3,{"weibull","lognormal","loglogistic"},0),Inputs!$F$8,Inputs!$F$10,Inputs!$F$12))^CHOOSE(MATCH(Inputs!$B$3,{"weibull","lognormal","loglogistic"},0),Inputs!$D$8,Inputs!$D$10,Inputs!$D$12)),1-NORM.S.DIST((LN(B160)-CHOOSE(MATCH(Inputs!$B$3,{"weibull","lognormal","loglogistic"},0),Inputs!$D$8,Inputs!$D$10,Inputs!$D$12))/CHOOSE(MATCH(Inputs!$B$3,{"weibull","lognormal","loglogistic"},0),Inputs!$F$8,Inputs!$F$10,Inputs!$F$12),TRUE))))</f>
        <v/>
      </c>
      <c r="E160">
        <f>(C159+C160)/2/12</f>
        <v/>
      </c>
      <c r="F160">
        <f>(D159+D160)/2/12</f>
        <v/>
      </c>
    </row>
    <row r="161">
      <c r="A161" t="n">
        <v>159</v>
      </c>
      <c r="B161">
        <f>A161/12</f>
        <v/>
      </c>
      <c r="C161">
        <f>IF(B161=0,1,IF(Inputs!$B$3="weibull",EXP(-(B161/CHOOSE(MATCH(Inputs!$B$3,{"weibull","lognormal","loglogistic"},0),Inputs!$F$7,Inputs!$F$9,Inputs!$F$11))^CHOOSE(MATCH(Inputs!$B$3,{"weibull","lognormal","loglogistic"},0),Inputs!$D$7,Inputs!$D$9,Inputs!$D$11)),IF(Inputs!$B$3="loglogistic",1/(1+(B161/CHOOSE(MATCH(Inputs!$B$3,{"weibull","lognormal","loglogistic"},0),Inputs!$F$7,Inputs!$F$9,Inputs!$F$11))^CHOOSE(MATCH(Inputs!$B$3,{"weibull","lognormal","loglogistic"},0),Inputs!$D$7,Inputs!$D$9,Inputs!$D$11)),1-NORM.S.DIST((LN(B161)-CHOOSE(MATCH(Inputs!$B$3,{"weibull","lognormal","loglogistic"},0),Inputs!$D$7,Inputs!$D$9,Inputs!$D$11))/CHOOSE(MATCH(Inputs!$B$3,{"weibull","lognormal","loglogistic"},0),Inputs!$F$7,Inputs!$F$9,Inputs!$F$11),TRUE))))</f>
        <v/>
      </c>
      <c r="D161">
        <f>IF(B161=0,1,IF(Inputs!$B$3="weibull",EXP(-(B161/CHOOSE(MATCH(Inputs!$B$3,{"weibull","lognormal","loglogistic"},0),Inputs!$F$8,Inputs!$F$10,Inputs!$F$12))^CHOOSE(MATCH(Inputs!$B$3,{"weibull","lognormal","loglogistic"},0),Inputs!$D$8,Inputs!$D$10,Inputs!$D$12)),IF(Inputs!$B$3="loglogistic",1/(1+(B161/CHOOSE(MATCH(Inputs!$B$3,{"weibull","lognormal","loglogistic"},0),Inputs!$F$8,Inputs!$F$10,Inputs!$F$12))^CHOOSE(MATCH(Inputs!$B$3,{"weibull","lognormal","loglogistic"},0),Inputs!$D$8,Inputs!$D$10,Inputs!$D$12)),1-NORM.S.DIST((LN(B161)-CHOOSE(MATCH(Inputs!$B$3,{"weibull","lognormal","loglogistic"},0),Inputs!$D$8,Inputs!$D$10,Inputs!$D$12))/CHOOSE(MATCH(Inputs!$B$3,{"weibull","lognormal","loglogistic"},0),Inputs!$F$8,Inputs!$F$10,Inputs!$F$12),TRUE))))</f>
        <v/>
      </c>
      <c r="E161">
        <f>(C160+C161)/2/12</f>
        <v/>
      </c>
      <c r="F161">
        <f>(D160+D161)/2/12</f>
        <v/>
      </c>
    </row>
    <row r="162">
      <c r="A162" t="n">
        <v>160</v>
      </c>
      <c r="B162">
        <f>A162/12</f>
        <v/>
      </c>
      <c r="C162">
        <f>IF(B162=0,1,IF(Inputs!$B$3="weibull",EXP(-(B162/CHOOSE(MATCH(Inputs!$B$3,{"weibull","lognormal","loglogistic"},0),Inputs!$F$7,Inputs!$F$9,Inputs!$F$11))^CHOOSE(MATCH(Inputs!$B$3,{"weibull","lognormal","loglogistic"},0),Inputs!$D$7,Inputs!$D$9,Inputs!$D$11)),IF(Inputs!$B$3="loglogistic",1/(1+(B162/CHOOSE(MATCH(Inputs!$B$3,{"weibull","lognormal","loglogistic"},0),Inputs!$F$7,Inputs!$F$9,Inputs!$F$11))^CHOOSE(MATCH(Inputs!$B$3,{"weibull","lognormal","loglogistic"},0),Inputs!$D$7,Inputs!$D$9,Inputs!$D$11)),1-NORM.S.DIST((LN(B162)-CHOOSE(MATCH(Inputs!$B$3,{"weibull","lognormal","loglogistic"},0),Inputs!$D$7,Inputs!$D$9,Inputs!$D$11))/CHOOSE(MATCH(Inputs!$B$3,{"weibull","lognormal","loglogistic"},0),Inputs!$F$7,Inputs!$F$9,Inputs!$F$11),TRUE))))</f>
        <v/>
      </c>
      <c r="D162">
        <f>IF(B162=0,1,IF(Inputs!$B$3="weibull",EXP(-(B162/CHOOSE(MATCH(Inputs!$B$3,{"weibull","lognormal","loglogistic"},0),Inputs!$F$8,Inputs!$F$10,Inputs!$F$12))^CHOOSE(MATCH(Inputs!$B$3,{"weibull","lognormal","loglogistic"},0),Inputs!$D$8,Inputs!$D$10,Inputs!$D$12)),IF(Inputs!$B$3="loglogistic",1/(1+(B162/CHOOSE(MATCH(Inputs!$B$3,{"weibull","lognormal","loglogistic"},0),Inputs!$F$8,Inputs!$F$10,Inputs!$F$12))^CHOOSE(MATCH(Inputs!$B$3,{"weibull","lognormal","loglogistic"},0),Inputs!$D$8,Inputs!$D$10,Inputs!$D$12)),1-NORM.S.DIST((LN(B162)-CHOOSE(MATCH(Inputs!$B$3,{"weibull","lognormal","loglogistic"},0),Inputs!$D$8,Inputs!$D$10,Inputs!$D$12))/CHOOSE(MATCH(Inputs!$B$3,{"weibull","lognormal","loglogistic"},0),Inputs!$F$8,Inputs!$F$10,Inputs!$F$12),TRUE))))</f>
        <v/>
      </c>
      <c r="E162">
        <f>(C161+C162)/2/12</f>
        <v/>
      </c>
      <c r="F162">
        <f>(D161+D162)/2/12</f>
        <v/>
      </c>
    </row>
    <row r="163">
      <c r="A163" t="n">
        <v>161</v>
      </c>
      <c r="B163">
        <f>A163/12</f>
        <v/>
      </c>
      <c r="C163">
        <f>IF(B163=0,1,IF(Inputs!$B$3="weibull",EXP(-(B163/CHOOSE(MATCH(Inputs!$B$3,{"weibull","lognormal","loglogistic"},0),Inputs!$F$7,Inputs!$F$9,Inputs!$F$11))^CHOOSE(MATCH(Inputs!$B$3,{"weibull","lognormal","loglogistic"},0),Inputs!$D$7,Inputs!$D$9,Inputs!$D$11)),IF(Inputs!$B$3="loglogistic",1/(1+(B163/CHOOSE(MATCH(Inputs!$B$3,{"weibull","lognormal","loglogistic"},0),Inputs!$F$7,Inputs!$F$9,Inputs!$F$11))^CHOOSE(MATCH(Inputs!$B$3,{"weibull","lognormal","loglogistic"},0),Inputs!$D$7,Inputs!$D$9,Inputs!$D$11)),1-NORM.S.DIST((LN(B163)-CHOOSE(MATCH(Inputs!$B$3,{"weibull","lognormal","loglogistic"},0),Inputs!$D$7,Inputs!$D$9,Inputs!$D$11))/CHOOSE(MATCH(Inputs!$B$3,{"weibull","lognormal","loglogistic"},0),Inputs!$F$7,Inputs!$F$9,Inputs!$F$11),TRUE))))</f>
        <v/>
      </c>
      <c r="D163">
        <f>IF(B163=0,1,IF(Inputs!$B$3="weibull",EXP(-(B163/CHOOSE(MATCH(Inputs!$B$3,{"weibull","lognormal","loglogistic"},0),Inputs!$F$8,Inputs!$F$10,Inputs!$F$12))^CHOOSE(MATCH(Inputs!$B$3,{"weibull","lognormal","loglogistic"},0),Inputs!$D$8,Inputs!$D$10,Inputs!$D$12)),IF(Inputs!$B$3="loglogistic",1/(1+(B163/CHOOSE(MATCH(Inputs!$B$3,{"weibull","lognormal","loglogistic"},0),Inputs!$F$8,Inputs!$F$10,Inputs!$F$12))^CHOOSE(MATCH(Inputs!$B$3,{"weibull","lognormal","loglogistic"},0),Inputs!$D$8,Inputs!$D$10,Inputs!$D$12)),1-NORM.S.DIST((LN(B163)-CHOOSE(MATCH(Inputs!$B$3,{"weibull","lognormal","loglogistic"},0),Inputs!$D$8,Inputs!$D$10,Inputs!$D$12))/CHOOSE(MATCH(Inputs!$B$3,{"weibull","lognormal","loglogistic"},0),Inputs!$F$8,Inputs!$F$10,Inputs!$F$12),TRUE))))</f>
        <v/>
      </c>
      <c r="E163">
        <f>(C162+C163)/2/12</f>
        <v/>
      </c>
      <c r="F163">
        <f>(D162+D163)/2/12</f>
        <v/>
      </c>
    </row>
    <row r="164">
      <c r="A164" t="n">
        <v>162</v>
      </c>
      <c r="B164">
        <f>A164/12</f>
        <v/>
      </c>
      <c r="C164">
        <f>IF(B164=0,1,IF(Inputs!$B$3="weibull",EXP(-(B164/CHOOSE(MATCH(Inputs!$B$3,{"weibull","lognormal","loglogistic"},0),Inputs!$F$7,Inputs!$F$9,Inputs!$F$11))^CHOOSE(MATCH(Inputs!$B$3,{"weibull","lognormal","loglogistic"},0),Inputs!$D$7,Inputs!$D$9,Inputs!$D$11)),IF(Inputs!$B$3="loglogistic",1/(1+(B164/CHOOSE(MATCH(Inputs!$B$3,{"weibull","lognormal","loglogistic"},0),Inputs!$F$7,Inputs!$F$9,Inputs!$F$11))^CHOOSE(MATCH(Inputs!$B$3,{"weibull","lognormal","loglogistic"},0),Inputs!$D$7,Inputs!$D$9,Inputs!$D$11)),1-NORM.S.DIST((LN(B164)-CHOOSE(MATCH(Inputs!$B$3,{"weibull","lognormal","loglogistic"},0),Inputs!$D$7,Inputs!$D$9,Inputs!$D$11))/CHOOSE(MATCH(Inputs!$B$3,{"weibull","lognormal","loglogistic"},0),Inputs!$F$7,Inputs!$F$9,Inputs!$F$11),TRUE))))</f>
        <v/>
      </c>
      <c r="D164">
        <f>IF(B164=0,1,IF(Inputs!$B$3="weibull",EXP(-(B164/CHOOSE(MATCH(Inputs!$B$3,{"weibull","lognormal","loglogistic"},0),Inputs!$F$8,Inputs!$F$10,Inputs!$F$12))^CHOOSE(MATCH(Inputs!$B$3,{"weibull","lognormal","loglogistic"},0),Inputs!$D$8,Inputs!$D$10,Inputs!$D$12)),IF(Inputs!$B$3="loglogistic",1/(1+(B164/CHOOSE(MATCH(Inputs!$B$3,{"weibull","lognormal","loglogistic"},0),Inputs!$F$8,Inputs!$F$10,Inputs!$F$12))^CHOOSE(MATCH(Inputs!$B$3,{"weibull","lognormal","loglogistic"},0),Inputs!$D$8,Inputs!$D$10,Inputs!$D$12)),1-NORM.S.DIST((LN(B164)-CHOOSE(MATCH(Inputs!$B$3,{"weibull","lognormal","loglogistic"},0),Inputs!$D$8,Inputs!$D$10,Inputs!$D$12))/CHOOSE(MATCH(Inputs!$B$3,{"weibull","lognormal","loglogistic"},0),Inputs!$F$8,Inputs!$F$10,Inputs!$F$12),TRUE))))</f>
        <v/>
      </c>
      <c r="E164">
        <f>(C163+C164)/2/12</f>
        <v/>
      </c>
      <c r="F164">
        <f>(D163+D164)/2/12</f>
        <v/>
      </c>
    </row>
    <row r="165">
      <c r="A165" t="n">
        <v>163</v>
      </c>
      <c r="B165">
        <f>A165/12</f>
        <v/>
      </c>
      <c r="C165">
        <f>IF(B165=0,1,IF(Inputs!$B$3="weibull",EXP(-(B165/CHOOSE(MATCH(Inputs!$B$3,{"weibull","lognormal","loglogistic"},0),Inputs!$F$7,Inputs!$F$9,Inputs!$F$11))^CHOOSE(MATCH(Inputs!$B$3,{"weibull","lognormal","loglogistic"},0),Inputs!$D$7,Inputs!$D$9,Inputs!$D$11)),IF(Inputs!$B$3="loglogistic",1/(1+(B165/CHOOSE(MATCH(Inputs!$B$3,{"weibull","lognormal","loglogistic"},0),Inputs!$F$7,Inputs!$F$9,Inputs!$F$11))^CHOOSE(MATCH(Inputs!$B$3,{"weibull","lognormal","loglogistic"},0),Inputs!$D$7,Inputs!$D$9,Inputs!$D$11)),1-NORM.S.DIST((LN(B165)-CHOOSE(MATCH(Inputs!$B$3,{"weibull","lognormal","loglogistic"},0),Inputs!$D$7,Inputs!$D$9,Inputs!$D$11))/CHOOSE(MATCH(Inputs!$B$3,{"weibull","lognormal","loglogistic"},0),Inputs!$F$7,Inputs!$F$9,Inputs!$F$11),TRUE))))</f>
        <v/>
      </c>
      <c r="D165">
        <f>IF(B165=0,1,IF(Inputs!$B$3="weibull",EXP(-(B165/CHOOSE(MATCH(Inputs!$B$3,{"weibull","lognormal","loglogistic"},0),Inputs!$F$8,Inputs!$F$10,Inputs!$F$12))^CHOOSE(MATCH(Inputs!$B$3,{"weibull","lognormal","loglogistic"},0),Inputs!$D$8,Inputs!$D$10,Inputs!$D$12)),IF(Inputs!$B$3="loglogistic",1/(1+(B165/CHOOSE(MATCH(Inputs!$B$3,{"weibull","lognormal","loglogistic"},0),Inputs!$F$8,Inputs!$F$10,Inputs!$F$12))^CHOOSE(MATCH(Inputs!$B$3,{"weibull","lognormal","loglogistic"},0),Inputs!$D$8,Inputs!$D$10,Inputs!$D$12)),1-NORM.S.DIST((LN(B165)-CHOOSE(MATCH(Inputs!$B$3,{"weibull","lognormal","loglogistic"},0),Inputs!$D$8,Inputs!$D$10,Inputs!$D$12))/CHOOSE(MATCH(Inputs!$B$3,{"weibull","lognormal","loglogistic"},0),Inputs!$F$8,Inputs!$F$10,Inputs!$F$12),TRUE))))</f>
        <v/>
      </c>
      <c r="E165">
        <f>(C164+C165)/2/12</f>
        <v/>
      </c>
      <c r="F165">
        <f>(D164+D165)/2/12</f>
        <v/>
      </c>
    </row>
    <row r="166">
      <c r="A166" t="n">
        <v>164</v>
      </c>
      <c r="B166">
        <f>A166/12</f>
        <v/>
      </c>
      <c r="C166">
        <f>IF(B166=0,1,IF(Inputs!$B$3="weibull",EXP(-(B166/CHOOSE(MATCH(Inputs!$B$3,{"weibull","lognormal","loglogistic"},0),Inputs!$F$7,Inputs!$F$9,Inputs!$F$11))^CHOOSE(MATCH(Inputs!$B$3,{"weibull","lognormal","loglogistic"},0),Inputs!$D$7,Inputs!$D$9,Inputs!$D$11)),IF(Inputs!$B$3="loglogistic",1/(1+(B166/CHOOSE(MATCH(Inputs!$B$3,{"weibull","lognormal","loglogistic"},0),Inputs!$F$7,Inputs!$F$9,Inputs!$F$11))^CHOOSE(MATCH(Inputs!$B$3,{"weibull","lognormal","loglogistic"},0),Inputs!$D$7,Inputs!$D$9,Inputs!$D$11)),1-NORM.S.DIST((LN(B166)-CHOOSE(MATCH(Inputs!$B$3,{"weibull","lognormal","loglogistic"},0),Inputs!$D$7,Inputs!$D$9,Inputs!$D$11))/CHOOSE(MATCH(Inputs!$B$3,{"weibull","lognormal","loglogistic"},0),Inputs!$F$7,Inputs!$F$9,Inputs!$F$11),TRUE))))</f>
        <v/>
      </c>
      <c r="D166">
        <f>IF(B166=0,1,IF(Inputs!$B$3="weibull",EXP(-(B166/CHOOSE(MATCH(Inputs!$B$3,{"weibull","lognormal","loglogistic"},0),Inputs!$F$8,Inputs!$F$10,Inputs!$F$12))^CHOOSE(MATCH(Inputs!$B$3,{"weibull","lognormal","loglogistic"},0),Inputs!$D$8,Inputs!$D$10,Inputs!$D$12)),IF(Inputs!$B$3="loglogistic",1/(1+(B166/CHOOSE(MATCH(Inputs!$B$3,{"weibull","lognormal","loglogistic"},0),Inputs!$F$8,Inputs!$F$10,Inputs!$F$12))^CHOOSE(MATCH(Inputs!$B$3,{"weibull","lognormal","loglogistic"},0),Inputs!$D$8,Inputs!$D$10,Inputs!$D$12)),1-NORM.S.DIST((LN(B166)-CHOOSE(MATCH(Inputs!$B$3,{"weibull","lognormal","loglogistic"},0),Inputs!$D$8,Inputs!$D$10,Inputs!$D$12))/CHOOSE(MATCH(Inputs!$B$3,{"weibull","lognormal","loglogistic"},0),Inputs!$F$8,Inputs!$F$10,Inputs!$F$12),TRUE))))</f>
        <v/>
      </c>
      <c r="E166">
        <f>(C165+C166)/2/12</f>
        <v/>
      </c>
      <c r="F166">
        <f>(D165+D166)/2/12</f>
        <v/>
      </c>
    </row>
    <row r="167">
      <c r="A167" t="n">
        <v>165</v>
      </c>
      <c r="B167">
        <f>A167/12</f>
        <v/>
      </c>
      <c r="C167">
        <f>IF(B167=0,1,IF(Inputs!$B$3="weibull",EXP(-(B167/CHOOSE(MATCH(Inputs!$B$3,{"weibull","lognormal","loglogistic"},0),Inputs!$F$7,Inputs!$F$9,Inputs!$F$11))^CHOOSE(MATCH(Inputs!$B$3,{"weibull","lognormal","loglogistic"},0),Inputs!$D$7,Inputs!$D$9,Inputs!$D$11)),IF(Inputs!$B$3="loglogistic",1/(1+(B167/CHOOSE(MATCH(Inputs!$B$3,{"weibull","lognormal","loglogistic"},0),Inputs!$F$7,Inputs!$F$9,Inputs!$F$11))^CHOOSE(MATCH(Inputs!$B$3,{"weibull","lognormal","loglogistic"},0),Inputs!$D$7,Inputs!$D$9,Inputs!$D$11)),1-NORM.S.DIST((LN(B167)-CHOOSE(MATCH(Inputs!$B$3,{"weibull","lognormal","loglogistic"},0),Inputs!$D$7,Inputs!$D$9,Inputs!$D$11))/CHOOSE(MATCH(Inputs!$B$3,{"weibull","lognormal","loglogistic"},0),Inputs!$F$7,Inputs!$F$9,Inputs!$F$11),TRUE))))</f>
        <v/>
      </c>
      <c r="D167">
        <f>IF(B167=0,1,IF(Inputs!$B$3="weibull",EXP(-(B167/CHOOSE(MATCH(Inputs!$B$3,{"weibull","lognormal","loglogistic"},0),Inputs!$F$8,Inputs!$F$10,Inputs!$F$12))^CHOOSE(MATCH(Inputs!$B$3,{"weibull","lognormal","loglogistic"},0),Inputs!$D$8,Inputs!$D$10,Inputs!$D$12)),IF(Inputs!$B$3="loglogistic",1/(1+(B167/CHOOSE(MATCH(Inputs!$B$3,{"weibull","lognormal","loglogistic"},0),Inputs!$F$8,Inputs!$F$10,Inputs!$F$12))^CHOOSE(MATCH(Inputs!$B$3,{"weibull","lognormal","loglogistic"},0),Inputs!$D$8,Inputs!$D$10,Inputs!$D$12)),1-NORM.S.DIST((LN(B167)-CHOOSE(MATCH(Inputs!$B$3,{"weibull","lognormal","loglogistic"},0),Inputs!$D$8,Inputs!$D$10,Inputs!$D$12))/CHOOSE(MATCH(Inputs!$B$3,{"weibull","lognormal","loglogistic"},0),Inputs!$F$8,Inputs!$F$10,Inputs!$F$12),TRUE))))</f>
        <v/>
      </c>
      <c r="E167">
        <f>(C166+C167)/2/12</f>
        <v/>
      </c>
      <c r="F167">
        <f>(D166+D167)/2/12</f>
        <v/>
      </c>
    </row>
    <row r="168">
      <c r="A168" t="n">
        <v>166</v>
      </c>
      <c r="B168">
        <f>A168/12</f>
        <v/>
      </c>
      <c r="C168">
        <f>IF(B168=0,1,IF(Inputs!$B$3="weibull",EXP(-(B168/CHOOSE(MATCH(Inputs!$B$3,{"weibull","lognormal","loglogistic"},0),Inputs!$F$7,Inputs!$F$9,Inputs!$F$11))^CHOOSE(MATCH(Inputs!$B$3,{"weibull","lognormal","loglogistic"},0),Inputs!$D$7,Inputs!$D$9,Inputs!$D$11)),IF(Inputs!$B$3="loglogistic",1/(1+(B168/CHOOSE(MATCH(Inputs!$B$3,{"weibull","lognormal","loglogistic"},0),Inputs!$F$7,Inputs!$F$9,Inputs!$F$11))^CHOOSE(MATCH(Inputs!$B$3,{"weibull","lognormal","loglogistic"},0),Inputs!$D$7,Inputs!$D$9,Inputs!$D$11)),1-NORM.S.DIST((LN(B168)-CHOOSE(MATCH(Inputs!$B$3,{"weibull","lognormal","loglogistic"},0),Inputs!$D$7,Inputs!$D$9,Inputs!$D$11))/CHOOSE(MATCH(Inputs!$B$3,{"weibull","lognormal","loglogistic"},0),Inputs!$F$7,Inputs!$F$9,Inputs!$F$11),TRUE))))</f>
        <v/>
      </c>
      <c r="D168">
        <f>IF(B168=0,1,IF(Inputs!$B$3="weibull",EXP(-(B168/CHOOSE(MATCH(Inputs!$B$3,{"weibull","lognormal","loglogistic"},0),Inputs!$F$8,Inputs!$F$10,Inputs!$F$12))^CHOOSE(MATCH(Inputs!$B$3,{"weibull","lognormal","loglogistic"},0),Inputs!$D$8,Inputs!$D$10,Inputs!$D$12)),IF(Inputs!$B$3="loglogistic",1/(1+(B168/CHOOSE(MATCH(Inputs!$B$3,{"weibull","lognormal","loglogistic"},0),Inputs!$F$8,Inputs!$F$10,Inputs!$F$12))^CHOOSE(MATCH(Inputs!$B$3,{"weibull","lognormal","loglogistic"},0),Inputs!$D$8,Inputs!$D$10,Inputs!$D$12)),1-NORM.S.DIST((LN(B168)-CHOOSE(MATCH(Inputs!$B$3,{"weibull","lognormal","loglogistic"},0),Inputs!$D$8,Inputs!$D$10,Inputs!$D$12))/CHOOSE(MATCH(Inputs!$B$3,{"weibull","lognormal","loglogistic"},0),Inputs!$F$8,Inputs!$F$10,Inputs!$F$12),TRUE))))</f>
        <v/>
      </c>
      <c r="E168">
        <f>(C167+C168)/2/12</f>
        <v/>
      </c>
      <c r="F168">
        <f>(D167+D168)/2/12</f>
        <v/>
      </c>
    </row>
    <row r="169">
      <c r="A169" t="n">
        <v>167</v>
      </c>
      <c r="B169">
        <f>A169/12</f>
        <v/>
      </c>
      <c r="C169">
        <f>IF(B169=0,1,IF(Inputs!$B$3="weibull",EXP(-(B169/CHOOSE(MATCH(Inputs!$B$3,{"weibull","lognormal","loglogistic"},0),Inputs!$F$7,Inputs!$F$9,Inputs!$F$11))^CHOOSE(MATCH(Inputs!$B$3,{"weibull","lognormal","loglogistic"},0),Inputs!$D$7,Inputs!$D$9,Inputs!$D$11)),IF(Inputs!$B$3="loglogistic",1/(1+(B169/CHOOSE(MATCH(Inputs!$B$3,{"weibull","lognormal","loglogistic"},0),Inputs!$F$7,Inputs!$F$9,Inputs!$F$11))^CHOOSE(MATCH(Inputs!$B$3,{"weibull","lognormal","loglogistic"},0),Inputs!$D$7,Inputs!$D$9,Inputs!$D$11)),1-NORM.S.DIST((LN(B169)-CHOOSE(MATCH(Inputs!$B$3,{"weibull","lognormal","loglogistic"},0),Inputs!$D$7,Inputs!$D$9,Inputs!$D$11))/CHOOSE(MATCH(Inputs!$B$3,{"weibull","lognormal","loglogistic"},0),Inputs!$F$7,Inputs!$F$9,Inputs!$F$11),TRUE))))</f>
        <v/>
      </c>
      <c r="D169">
        <f>IF(B169=0,1,IF(Inputs!$B$3="weibull",EXP(-(B169/CHOOSE(MATCH(Inputs!$B$3,{"weibull","lognormal","loglogistic"},0),Inputs!$F$8,Inputs!$F$10,Inputs!$F$12))^CHOOSE(MATCH(Inputs!$B$3,{"weibull","lognormal","loglogistic"},0),Inputs!$D$8,Inputs!$D$10,Inputs!$D$12)),IF(Inputs!$B$3="loglogistic",1/(1+(B169/CHOOSE(MATCH(Inputs!$B$3,{"weibull","lognormal","loglogistic"},0),Inputs!$F$8,Inputs!$F$10,Inputs!$F$12))^CHOOSE(MATCH(Inputs!$B$3,{"weibull","lognormal","loglogistic"},0),Inputs!$D$8,Inputs!$D$10,Inputs!$D$12)),1-NORM.S.DIST((LN(B169)-CHOOSE(MATCH(Inputs!$B$3,{"weibull","lognormal","loglogistic"},0),Inputs!$D$8,Inputs!$D$10,Inputs!$D$12))/CHOOSE(MATCH(Inputs!$B$3,{"weibull","lognormal","loglogistic"},0),Inputs!$F$8,Inputs!$F$10,Inputs!$F$12),TRUE))))</f>
        <v/>
      </c>
      <c r="E169">
        <f>(C168+C169)/2/12</f>
        <v/>
      </c>
      <c r="F169">
        <f>(D168+D169)/2/12</f>
        <v/>
      </c>
    </row>
    <row r="170">
      <c r="A170" t="n">
        <v>168</v>
      </c>
      <c r="B170">
        <f>A170/12</f>
        <v/>
      </c>
      <c r="C170">
        <f>IF(B170=0,1,IF(Inputs!$B$3="weibull",EXP(-(B170/CHOOSE(MATCH(Inputs!$B$3,{"weibull","lognormal","loglogistic"},0),Inputs!$F$7,Inputs!$F$9,Inputs!$F$11))^CHOOSE(MATCH(Inputs!$B$3,{"weibull","lognormal","loglogistic"},0),Inputs!$D$7,Inputs!$D$9,Inputs!$D$11)),IF(Inputs!$B$3="loglogistic",1/(1+(B170/CHOOSE(MATCH(Inputs!$B$3,{"weibull","lognormal","loglogistic"},0),Inputs!$F$7,Inputs!$F$9,Inputs!$F$11))^CHOOSE(MATCH(Inputs!$B$3,{"weibull","lognormal","loglogistic"},0),Inputs!$D$7,Inputs!$D$9,Inputs!$D$11)),1-NORM.S.DIST((LN(B170)-CHOOSE(MATCH(Inputs!$B$3,{"weibull","lognormal","loglogistic"},0),Inputs!$D$7,Inputs!$D$9,Inputs!$D$11))/CHOOSE(MATCH(Inputs!$B$3,{"weibull","lognormal","loglogistic"},0),Inputs!$F$7,Inputs!$F$9,Inputs!$F$11),TRUE))))</f>
        <v/>
      </c>
      <c r="D170">
        <f>IF(B170=0,1,IF(Inputs!$B$3="weibull",EXP(-(B170/CHOOSE(MATCH(Inputs!$B$3,{"weibull","lognormal","loglogistic"},0),Inputs!$F$8,Inputs!$F$10,Inputs!$F$12))^CHOOSE(MATCH(Inputs!$B$3,{"weibull","lognormal","loglogistic"},0),Inputs!$D$8,Inputs!$D$10,Inputs!$D$12)),IF(Inputs!$B$3="loglogistic",1/(1+(B170/CHOOSE(MATCH(Inputs!$B$3,{"weibull","lognormal","loglogistic"},0),Inputs!$F$8,Inputs!$F$10,Inputs!$F$12))^CHOOSE(MATCH(Inputs!$B$3,{"weibull","lognormal","loglogistic"},0),Inputs!$D$8,Inputs!$D$10,Inputs!$D$12)),1-NORM.S.DIST((LN(B170)-CHOOSE(MATCH(Inputs!$B$3,{"weibull","lognormal","loglogistic"},0),Inputs!$D$8,Inputs!$D$10,Inputs!$D$12))/CHOOSE(MATCH(Inputs!$B$3,{"weibull","lognormal","loglogistic"},0),Inputs!$F$8,Inputs!$F$10,Inputs!$F$12),TRUE))))</f>
        <v/>
      </c>
      <c r="E170">
        <f>(C169+C170)/2/12</f>
        <v/>
      </c>
      <c r="F170">
        <f>(D169+D170)/2/12</f>
        <v/>
      </c>
    </row>
    <row r="171">
      <c r="A171" t="n">
        <v>169</v>
      </c>
      <c r="B171">
        <f>A171/12</f>
        <v/>
      </c>
      <c r="C171">
        <f>IF(B171=0,1,IF(Inputs!$B$3="weibull",EXP(-(B171/CHOOSE(MATCH(Inputs!$B$3,{"weibull","lognormal","loglogistic"},0),Inputs!$F$7,Inputs!$F$9,Inputs!$F$11))^CHOOSE(MATCH(Inputs!$B$3,{"weibull","lognormal","loglogistic"},0),Inputs!$D$7,Inputs!$D$9,Inputs!$D$11)),IF(Inputs!$B$3="loglogistic",1/(1+(B171/CHOOSE(MATCH(Inputs!$B$3,{"weibull","lognormal","loglogistic"},0),Inputs!$F$7,Inputs!$F$9,Inputs!$F$11))^CHOOSE(MATCH(Inputs!$B$3,{"weibull","lognormal","loglogistic"},0),Inputs!$D$7,Inputs!$D$9,Inputs!$D$11)),1-NORM.S.DIST((LN(B171)-CHOOSE(MATCH(Inputs!$B$3,{"weibull","lognormal","loglogistic"},0),Inputs!$D$7,Inputs!$D$9,Inputs!$D$11))/CHOOSE(MATCH(Inputs!$B$3,{"weibull","lognormal","loglogistic"},0),Inputs!$F$7,Inputs!$F$9,Inputs!$F$11),TRUE))))</f>
        <v/>
      </c>
      <c r="D171">
        <f>IF(B171=0,1,IF(Inputs!$B$3="weibull",EXP(-(B171/CHOOSE(MATCH(Inputs!$B$3,{"weibull","lognormal","loglogistic"},0),Inputs!$F$8,Inputs!$F$10,Inputs!$F$12))^CHOOSE(MATCH(Inputs!$B$3,{"weibull","lognormal","loglogistic"},0),Inputs!$D$8,Inputs!$D$10,Inputs!$D$12)),IF(Inputs!$B$3="loglogistic",1/(1+(B171/CHOOSE(MATCH(Inputs!$B$3,{"weibull","lognormal","loglogistic"},0),Inputs!$F$8,Inputs!$F$10,Inputs!$F$12))^CHOOSE(MATCH(Inputs!$B$3,{"weibull","lognormal","loglogistic"},0),Inputs!$D$8,Inputs!$D$10,Inputs!$D$12)),1-NORM.S.DIST((LN(B171)-CHOOSE(MATCH(Inputs!$B$3,{"weibull","lognormal","loglogistic"},0),Inputs!$D$8,Inputs!$D$10,Inputs!$D$12))/CHOOSE(MATCH(Inputs!$B$3,{"weibull","lognormal","loglogistic"},0),Inputs!$F$8,Inputs!$F$10,Inputs!$F$12),TRUE))))</f>
        <v/>
      </c>
      <c r="E171">
        <f>(C170+C171)/2/12</f>
        <v/>
      </c>
      <c r="F171">
        <f>(D170+D171)/2/12</f>
        <v/>
      </c>
    </row>
    <row r="172">
      <c r="A172" t="n">
        <v>170</v>
      </c>
      <c r="B172">
        <f>A172/12</f>
        <v/>
      </c>
      <c r="C172">
        <f>IF(B172=0,1,IF(Inputs!$B$3="weibull",EXP(-(B172/CHOOSE(MATCH(Inputs!$B$3,{"weibull","lognormal","loglogistic"},0),Inputs!$F$7,Inputs!$F$9,Inputs!$F$11))^CHOOSE(MATCH(Inputs!$B$3,{"weibull","lognormal","loglogistic"},0),Inputs!$D$7,Inputs!$D$9,Inputs!$D$11)),IF(Inputs!$B$3="loglogistic",1/(1+(B172/CHOOSE(MATCH(Inputs!$B$3,{"weibull","lognormal","loglogistic"},0),Inputs!$F$7,Inputs!$F$9,Inputs!$F$11))^CHOOSE(MATCH(Inputs!$B$3,{"weibull","lognormal","loglogistic"},0),Inputs!$D$7,Inputs!$D$9,Inputs!$D$11)),1-NORM.S.DIST((LN(B172)-CHOOSE(MATCH(Inputs!$B$3,{"weibull","lognormal","loglogistic"},0),Inputs!$D$7,Inputs!$D$9,Inputs!$D$11))/CHOOSE(MATCH(Inputs!$B$3,{"weibull","lognormal","loglogistic"},0),Inputs!$F$7,Inputs!$F$9,Inputs!$F$11),TRUE))))</f>
        <v/>
      </c>
      <c r="D172">
        <f>IF(B172=0,1,IF(Inputs!$B$3="weibull",EXP(-(B172/CHOOSE(MATCH(Inputs!$B$3,{"weibull","lognormal","loglogistic"},0),Inputs!$F$8,Inputs!$F$10,Inputs!$F$12))^CHOOSE(MATCH(Inputs!$B$3,{"weibull","lognormal","loglogistic"},0),Inputs!$D$8,Inputs!$D$10,Inputs!$D$12)),IF(Inputs!$B$3="loglogistic",1/(1+(B172/CHOOSE(MATCH(Inputs!$B$3,{"weibull","lognormal","loglogistic"},0),Inputs!$F$8,Inputs!$F$10,Inputs!$F$12))^CHOOSE(MATCH(Inputs!$B$3,{"weibull","lognormal","loglogistic"},0),Inputs!$D$8,Inputs!$D$10,Inputs!$D$12)),1-NORM.S.DIST((LN(B172)-CHOOSE(MATCH(Inputs!$B$3,{"weibull","lognormal","loglogistic"},0),Inputs!$D$8,Inputs!$D$10,Inputs!$D$12))/CHOOSE(MATCH(Inputs!$B$3,{"weibull","lognormal","loglogistic"},0),Inputs!$F$8,Inputs!$F$10,Inputs!$F$12),TRUE))))</f>
        <v/>
      </c>
      <c r="E172">
        <f>(C171+C172)/2/12</f>
        <v/>
      </c>
      <c r="F172">
        <f>(D171+D172)/2/12</f>
        <v/>
      </c>
    </row>
    <row r="173">
      <c r="A173" t="n">
        <v>171</v>
      </c>
      <c r="B173">
        <f>A173/12</f>
        <v/>
      </c>
      <c r="C173">
        <f>IF(B173=0,1,IF(Inputs!$B$3="weibull",EXP(-(B173/CHOOSE(MATCH(Inputs!$B$3,{"weibull","lognormal","loglogistic"},0),Inputs!$F$7,Inputs!$F$9,Inputs!$F$11))^CHOOSE(MATCH(Inputs!$B$3,{"weibull","lognormal","loglogistic"},0),Inputs!$D$7,Inputs!$D$9,Inputs!$D$11)),IF(Inputs!$B$3="loglogistic",1/(1+(B173/CHOOSE(MATCH(Inputs!$B$3,{"weibull","lognormal","loglogistic"},0),Inputs!$F$7,Inputs!$F$9,Inputs!$F$11))^CHOOSE(MATCH(Inputs!$B$3,{"weibull","lognormal","loglogistic"},0),Inputs!$D$7,Inputs!$D$9,Inputs!$D$11)),1-NORM.S.DIST((LN(B173)-CHOOSE(MATCH(Inputs!$B$3,{"weibull","lognormal","loglogistic"},0),Inputs!$D$7,Inputs!$D$9,Inputs!$D$11))/CHOOSE(MATCH(Inputs!$B$3,{"weibull","lognormal","loglogistic"},0),Inputs!$F$7,Inputs!$F$9,Inputs!$F$11),TRUE))))</f>
        <v/>
      </c>
      <c r="D173">
        <f>IF(B173=0,1,IF(Inputs!$B$3="weibull",EXP(-(B173/CHOOSE(MATCH(Inputs!$B$3,{"weibull","lognormal","loglogistic"},0),Inputs!$F$8,Inputs!$F$10,Inputs!$F$12))^CHOOSE(MATCH(Inputs!$B$3,{"weibull","lognormal","loglogistic"},0),Inputs!$D$8,Inputs!$D$10,Inputs!$D$12)),IF(Inputs!$B$3="loglogistic",1/(1+(B173/CHOOSE(MATCH(Inputs!$B$3,{"weibull","lognormal","loglogistic"},0),Inputs!$F$8,Inputs!$F$10,Inputs!$F$12))^CHOOSE(MATCH(Inputs!$B$3,{"weibull","lognormal","loglogistic"},0),Inputs!$D$8,Inputs!$D$10,Inputs!$D$12)),1-NORM.S.DIST((LN(B173)-CHOOSE(MATCH(Inputs!$B$3,{"weibull","lognormal","loglogistic"},0),Inputs!$D$8,Inputs!$D$10,Inputs!$D$12))/CHOOSE(MATCH(Inputs!$B$3,{"weibull","lognormal","loglogistic"},0),Inputs!$F$8,Inputs!$F$10,Inputs!$F$12),TRUE))))</f>
        <v/>
      </c>
      <c r="E173">
        <f>(C172+C173)/2/12</f>
        <v/>
      </c>
      <c r="F173">
        <f>(D172+D173)/2/12</f>
        <v/>
      </c>
    </row>
    <row r="174">
      <c r="A174" t="n">
        <v>172</v>
      </c>
      <c r="B174">
        <f>A174/12</f>
        <v/>
      </c>
      <c r="C174">
        <f>IF(B174=0,1,IF(Inputs!$B$3="weibull",EXP(-(B174/CHOOSE(MATCH(Inputs!$B$3,{"weibull","lognormal","loglogistic"},0),Inputs!$F$7,Inputs!$F$9,Inputs!$F$11))^CHOOSE(MATCH(Inputs!$B$3,{"weibull","lognormal","loglogistic"},0),Inputs!$D$7,Inputs!$D$9,Inputs!$D$11)),IF(Inputs!$B$3="loglogistic",1/(1+(B174/CHOOSE(MATCH(Inputs!$B$3,{"weibull","lognormal","loglogistic"},0),Inputs!$F$7,Inputs!$F$9,Inputs!$F$11))^CHOOSE(MATCH(Inputs!$B$3,{"weibull","lognormal","loglogistic"},0),Inputs!$D$7,Inputs!$D$9,Inputs!$D$11)),1-NORM.S.DIST((LN(B174)-CHOOSE(MATCH(Inputs!$B$3,{"weibull","lognormal","loglogistic"},0),Inputs!$D$7,Inputs!$D$9,Inputs!$D$11))/CHOOSE(MATCH(Inputs!$B$3,{"weibull","lognormal","loglogistic"},0),Inputs!$F$7,Inputs!$F$9,Inputs!$F$11),TRUE))))</f>
        <v/>
      </c>
      <c r="D174">
        <f>IF(B174=0,1,IF(Inputs!$B$3="weibull",EXP(-(B174/CHOOSE(MATCH(Inputs!$B$3,{"weibull","lognormal","loglogistic"},0),Inputs!$F$8,Inputs!$F$10,Inputs!$F$12))^CHOOSE(MATCH(Inputs!$B$3,{"weibull","lognormal","loglogistic"},0),Inputs!$D$8,Inputs!$D$10,Inputs!$D$12)),IF(Inputs!$B$3="loglogistic",1/(1+(B174/CHOOSE(MATCH(Inputs!$B$3,{"weibull","lognormal","loglogistic"},0),Inputs!$F$8,Inputs!$F$10,Inputs!$F$12))^CHOOSE(MATCH(Inputs!$B$3,{"weibull","lognormal","loglogistic"},0),Inputs!$D$8,Inputs!$D$10,Inputs!$D$12)),1-NORM.S.DIST((LN(B174)-CHOOSE(MATCH(Inputs!$B$3,{"weibull","lognormal","loglogistic"},0),Inputs!$D$8,Inputs!$D$10,Inputs!$D$12))/CHOOSE(MATCH(Inputs!$B$3,{"weibull","lognormal","loglogistic"},0),Inputs!$F$8,Inputs!$F$10,Inputs!$F$12),TRUE))))</f>
        <v/>
      </c>
      <c r="E174">
        <f>(C173+C174)/2/12</f>
        <v/>
      </c>
      <c r="F174">
        <f>(D173+D174)/2/12</f>
        <v/>
      </c>
    </row>
    <row r="175">
      <c r="A175" t="n">
        <v>173</v>
      </c>
      <c r="B175">
        <f>A175/12</f>
        <v/>
      </c>
      <c r="C175">
        <f>IF(B175=0,1,IF(Inputs!$B$3="weibull",EXP(-(B175/CHOOSE(MATCH(Inputs!$B$3,{"weibull","lognormal","loglogistic"},0),Inputs!$F$7,Inputs!$F$9,Inputs!$F$11))^CHOOSE(MATCH(Inputs!$B$3,{"weibull","lognormal","loglogistic"},0),Inputs!$D$7,Inputs!$D$9,Inputs!$D$11)),IF(Inputs!$B$3="loglogistic",1/(1+(B175/CHOOSE(MATCH(Inputs!$B$3,{"weibull","lognormal","loglogistic"},0),Inputs!$F$7,Inputs!$F$9,Inputs!$F$11))^CHOOSE(MATCH(Inputs!$B$3,{"weibull","lognormal","loglogistic"},0),Inputs!$D$7,Inputs!$D$9,Inputs!$D$11)),1-NORM.S.DIST((LN(B175)-CHOOSE(MATCH(Inputs!$B$3,{"weibull","lognormal","loglogistic"},0),Inputs!$D$7,Inputs!$D$9,Inputs!$D$11))/CHOOSE(MATCH(Inputs!$B$3,{"weibull","lognormal","loglogistic"},0),Inputs!$F$7,Inputs!$F$9,Inputs!$F$11),TRUE))))</f>
        <v/>
      </c>
      <c r="D175">
        <f>IF(B175=0,1,IF(Inputs!$B$3="weibull",EXP(-(B175/CHOOSE(MATCH(Inputs!$B$3,{"weibull","lognormal","loglogistic"},0),Inputs!$F$8,Inputs!$F$10,Inputs!$F$12))^CHOOSE(MATCH(Inputs!$B$3,{"weibull","lognormal","loglogistic"},0),Inputs!$D$8,Inputs!$D$10,Inputs!$D$12)),IF(Inputs!$B$3="loglogistic",1/(1+(B175/CHOOSE(MATCH(Inputs!$B$3,{"weibull","lognormal","loglogistic"},0),Inputs!$F$8,Inputs!$F$10,Inputs!$F$12))^CHOOSE(MATCH(Inputs!$B$3,{"weibull","lognormal","loglogistic"},0),Inputs!$D$8,Inputs!$D$10,Inputs!$D$12)),1-NORM.S.DIST((LN(B175)-CHOOSE(MATCH(Inputs!$B$3,{"weibull","lognormal","loglogistic"},0),Inputs!$D$8,Inputs!$D$10,Inputs!$D$12))/CHOOSE(MATCH(Inputs!$B$3,{"weibull","lognormal","loglogistic"},0),Inputs!$F$8,Inputs!$F$10,Inputs!$F$12),TRUE))))</f>
        <v/>
      </c>
      <c r="E175">
        <f>(C174+C175)/2/12</f>
        <v/>
      </c>
      <c r="F175">
        <f>(D174+D175)/2/12</f>
        <v/>
      </c>
    </row>
    <row r="176">
      <c r="A176" t="n">
        <v>174</v>
      </c>
      <c r="B176">
        <f>A176/12</f>
        <v/>
      </c>
      <c r="C176">
        <f>IF(B176=0,1,IF(Inputs!$B$3="weibull",EXP(-(B176/CHOOSE(MATCH(Inputs!$B$3,{"weibull","lognormal","loglogistic"},0),Inputs!$F$7,Inputs!$F$9,Inputs!$F$11))^CHOOSE(MATCH(Inputs!$B$3,{"weibull","lognormal","loglogistic"},0),Inputs!$D$7,Inputs!$D$9,Inputs!$D$11)),IF(Inputs!$B$3="loglogistic",1/(1+(B176/CHOOSE(MATCH(Inputs!$B$3,{"weibull","lognormal","loglogistic"},0),Inputs!$F$7,Inputs!$F$9,Inputs!$F$11))^CHOOSE(MATCH(Inputs!$B$3,{"weibull","lognormal","loglogistic"},0),Inputs!$D$7,Inputs!$D$9,Inputs!$D$11)),1-NORM.S.DIST((LN(B176)-CHOOSE(MATCH(Inputs!$B$3,{"weibull","lognormal","loglogistic"},0),Inputs!$D$7,Inputs!$D$9,Inputs!$D$11))/CHOOSE(MATCH(Inputs!$B$3,{"weibull","lognormal","loglogistic"},0),Inputs!$F$7,Inputs!$F$9,Inputs!$F$11),TRUE))))</f>
        <v/>
      </c>
      <c r="D176">
        <f>IF(B176=0,1,IF(Inputs!$B$3="weibull",EXP(-(B176/CHOOSE(MATCH(Inputs!$B$3,{"weibull","lognormal","loglogistic"},0),Inputs!$F$8,Inputs!$F$10,Inputs!$F$12))^CHOOSE(MATCH(Inputs!$B$3,{"weibull","lognormal","loglogistic"},0),Inputs!$D$8,Inputs!$D$10,Inputs!$D$12)),IF(Inputs!$B$3="loglogistic",1/(1+(B176/CHOOSE(MATCH(Inputs!$B$3,{"weibull","lognormal","loglogistic"},0),Inputs!$F$8,Inputs!$F$10,Inputs!$F$12))^CHOOSE(MATCH(Inputs!$B$3,{"weibull","lognormal","loglogistic"},0),Inputs!$D$8,Inputs!$D$10,Inputs!$D$12)),1-NORM.S.DIST((LN(B176)-CHOOSE(MATCH(Inputs!$B$3,{"weibull","lognormal","loglogistic"},0),Inputs!$D$8,Inputs!$D$10,Inputs!$D$12))/CHOOSE(MATCH(Inputs!$B$3,{"weibull","lognormal","loglogistic"},0),Inputs!$F$8,Inputs!$F$10,Inputs!$F$12),TRUE))))</f>
        <v/>
      </c>
      <c r="E176">
        <f>(C175+C176)/2/12</f>
        <v/>
      </c>
      <c r="F176">
        <f>(D175+D176)/2/12</f>
        <v/>
      </c>
    </row>
    <row r="177">
      <c r="A177" t="n">
        <v>175</v>
      </c>
      <c r="B177">
        <f>A177/12</f>
        <v/>
      </c>
      <c r="C177">
        <f>IF(B177=0,1,IF(Inputs!$B$3="weibull",EXP(-(B177/CHOOSE(MATCH(Inputs!$B$3,{"weibull","lognormal","loglogistic"},0),Inputs!$F$7,Inputs!$F$9,Inputs!$F$11))^CHOOSE(MATCH(Inputs!$B$3,{"weibull","lognormal","loglogistic"},0),Inputs!$D$7,Inputs!$D$9,Inputs!$D$11)),IF(Inputs!$B$3="loglogistic",1/(1+(B177/CHOOSE(MATCH(Inputs!$B$3,{"weibull","lognormal","loglogistic"},0),Inputs!$F$7,Inputs!$F$9,Inputs!$F$11))^CHOOSE(MATCH(Inputs!$B$3,{"weibull","lognormal","loglogistic"},0),Inputs!$D$7,Inputs!$D$9,Inputs!$D$11)),1-NORM.S.DIST((LN(B177)-CHOOSE(MATCH(Inputs!$B$3,{"weibull","lognormal","loglogistic"},0),Inputs!$D$7,Inputs!$D$9,Inputs!$D$11))/CHOOSE(MATCH(Inputs!$B$3,{"weibull","lognormal","loglogistic"},0),Inputs!$F$7,Inputs!$F$9,Inputs!$F$11),TRUE))))</f>
        <v/>
      </c>
      <c r="D177">
        <f>IF(B177=0,1,IF(Inputs!$B$3="weibull",EXP(-(B177/CHOOSE(MATCH(Inputs!$B$3,{"weibull","lognormal","loglogistic"},0),Inputs!$F$8,Inputs!$F$10,Inputs!$F$12))^CHOOSE(MATCH(Inputs!$B$3,{"weibull","lognormal","loglogistic"},0),Inputs!$D$8,Inputs!$D$10,Inputs!$D$12)),IF(Inputs!$B$3="loglogistic",1/(1+(B177/CHOOSE(MATCH(Inputs!$B$3,{"weibull","lognormal","loglogistic"},0),Inputs!$F$8,Inputs!$F$10,Inputs!$F$12))^CHOOSE(MATCH(Inputs!$B$3,{"weibull","lognormal","loglogistic"},0),Inputs!$D$8,Inputs!$D$10,Inputs!$D$12)),1-NORM.S.DIST((LN(B177)-CHOOSE(MATCH(Inputs!$B$3,{"weibull","lognormal","loglogistic"},0),Inputs!$D$8,Inputs!$D$10,Inputs!$D$12))/CHOOSE(MATCH(Inputs!$B$3,{"weibull","lognormal","loglogistic"},0),Inputs!$F$8,Inputs!$F$10,Inputs!$F$12),TRUE))))</f>
        <v/>
      </c>
      <c r="E177">
        <f>(C176+C177)/2/12</f>
        <v/>
      </c>
      <c r="F177">
        <f>(D176+D177)/2/12</f>
        <v/>
      </c>
    </row>
    <row r="178">
      <c r="A178" t="n">
        <v>176</v>
      </c>
      <c r="B178">
        <f>A178/12</f>
        <v/>
      </c>
      <c r="C178">
        <f>IF(B178=0,1,IF(Inputs!$B$3="weibull",EXP(-(B178/CHOOSE(MATCH(Inputs!$B$3,{"weibull","lognormal","loglogistic"},0),Inputs!$F$7,Inputs!$F$9,Inputs!$F$11))^CHOOSE(MATCH(Inputs!$B$3,{"weibull","lognormal","loglogistic"},0),Inputs!$D$7,Inputs!$D$9,Inputs!$D$11)),IF(Inputs!$B$3="loglogistic",1/(1+(B178/CHOOSE(MATCH(Inputs!$B$3,{"weibull","lognormal","loglogistic"},0),Inputs!$F$7,Inputs!$F$9,Inputs!$F$11))^CHOOSE(MATCH(Inputs!$B$3,{"weibull","lognormal","loglogistic"},0),Inputs!$D$7,Inputs!$D$9,Inputs!$D$11)),1-NORM.S.DIST((LN(B178)-CHOOSE(MATCH(Inputs!$B$3,{"weibull","lognormal","loglogistic"},0),Inputs!$D$7,Inputs!$D$9,Inputs!$D$11))/CHOOSE(MATCH(Inputs!$B$3,{"weibull","lognormal","loglogistic"},0),Inputs!$F$7,Inputs!$F$9,Inputs!$F$11),TRUE))))</f>
        <v/>
      </c>
      <c r="D178">
        <f>IF(B178=0,1,IF(Inputs!$B$3="weibull",EXP(-(B178/CHOOSE(MATCH(Inputs!$B$3,{"weibull","lognormal","loglogistic"},0),Inputs!$F$8,Inputs!$F$10,Inputs!$F$12))^CHOOSE(MATCH(Inputs!$B$3,{"weibull","lognormal","loglogistic"},0),Inputs!$D$8,Inputs!$D$10,Inputs!$D$12)),IF(Inputs!$B$3="loglogistic",1/(1+(B178/CHOOSE(MATCH(Inputs!$B$3,{"weibull","lognormal","loglogistic"},0),Inputs!$F$8,Inputs!$F$10,Inputs!$F$12))^CHOOSE(MATCH(Inputs!$B$3,{"weibull","lognormal","loglogistic"},0),Inputs!$D$8,Inputs!$D$10,Inputs!$D$12)),1-NORM.S.DIST((LN(B178)-CHOOSE(MATCH(Inputs!$B$3,{"weibull","lognormal","loglogistic"},0),Inputs!$D$8,Inputs!$D$10,Inputs!$D$12))/CHOOSE(MATCH(Inputs!$B$3,{"weibull","lognormal","loglogistic"},0),Inputs!$F$8,Inputs!$F$10,Inputs!$F$12),TRUE))))</f>
        <v/>
      </c>
      <c r="E178">
        <f>(C177+C178)/2/12</f>
        <v/>
      </c>
      <c r="F178">
        <f>(D177+D178)/2/12</f>
        <v/>
      </c>
    </row>
    <row r="179">
      <c r="A179" t="n">
        <v>177</v>
      </c>
      <c r="B179">
        <f>A179/12</f>
        <v/>
      </c>
      <c r="C179">
        <f>IF(B179=0,1,IF(Inputs!$B$3="weibull",EXP(-(B179/CHOOSE(MATCH(Inputs!$B$3,{"weibull","lognormal","loglogistic"},0),Inputs!$F$7,Inputs!$F$9,Inputs!$F$11))^CHOOSE(MATCH(Inputs!$B$3,{"weibull","lognormal","loglogistic"},0),Inputs!$D$7,Inputs!$D$9,Inputs!$D$11)),IF(Inputs!$B$3="loglogistic",1/(1+(B179/CHOOSE(MATCH(Inputs!$B$3,{"weibull","lognormal","loglogistic"},0),Inputs!$F$7,Inputs!$F$9,Inputs!$F$11))^CHOOSE(MATCH(Inputs!$B$3,{"weibull","lognormal","loglogistic"},0),Inputs!$D$7,Inputs!$D$9,Inputs!$D$11)),1-NORM.S.DIST((LN(B179)-CHOOSE(MATCH(Inputs!$B$3,{"weibull","lognormal","loglogistic"},0),Inputs!$D$7,Inputs!$D$9,Inputs!$D$11))/CHOOSE(MATCH(Inputs!$B$3,{"weibull","lognormal","loglogistic"},0),Inputs!$F$7,Inputs!$F$9,Inputs!$F$11),TRUE))))</f>
        <v/>
      </c>
      <c r="D179">
        <f>IF(B179=0,1,IF(Inputs!$B$3="weibull",EXP(-(B179/CHOOSE(MATCH(Inputs!$B$3,{"weibull","lognormal","loglogistic"},0),Inputs!$F$8,Inputs!$F$10,Inputs!$F$12))^CHOOSE(MATCH(Inputs!$B$3,{"weibull","lognormal","loglogistic"},0),Inputs!$D$8,Inputs!$D$10,Inputs!$D$12)),IF(Inputs!$B$3="loglogistic",1/(1+(B179/CHOOSE(MATCH(Inputs!$B$3,{"weibull","lognormal","loglogistic"},0),Inputs!$F$8,Inputs!$F$10,Inputs!$F$12))^CHOOSE(MATCH(Inputs!$B$3,{"weibull","lognormal","loglogistic"},0),Inputs!$D$8,Inputs!$D$10,Inputs!$D$12)),1-NORM.S.DIST((LN(B179)-CHOOSE(MATCH(Inputs!$B$3,{"weibull","lognormal","loglogistic"},0),Inputs!$D$8,Inputs!$D$10,Inputs!$D$12))/CHOOSE(MATCH(Inputs!$B$3,{"weibull","lognormal","loglogistic"},0),Inputs!$F$8,Inputs!$F$10,Inputs!$F$12),TRUE))))</f>
        <v/>
      </c>
      <c r="E179">
        <f>(C178+C179)/2/12</f>
        <v/>
      </c>
      <c r="F179">
        <f>(D178+D179)/2/12</f>
        <v/>
      </c>
    </row>
    <row r="180">
      <c r="A180" t="n">
        <v>178</v>
      </c>
      <c r="B180">
        <f>A180/12</f>
        <v/>
      </c>
      <c r="C180">
        <f>IF(B180=0,1,IF(Inputs!$B$3="weibull",EXP(-(B180/CHOOSE(MATCH(Inputs!$B$3,{"weibull","lognormal","loglogistic"},0),Inputs!$F$7,Inputs!$F$9,Inputs!$F$11))^CHOOSE(MATCH(Inputs!$B$3,{"weibull","lognormal","loglogistic"},0),Inputs!$D$7,Inputs!$D$9,Inputs!$D$11)),IF(Inputs!$B$3="loglogistic",1/(1+(B180/CHOOSE(MATCH(Inputs!$B$3,{"weibull","lognormal","loglogistic"},0),Inputs!$F$7,Inputs!$F$9,Inputs!$F$11))^CHOOSE(MATCH(Inputs!$B$3,{"weibull","lognormal","loglogistic"},0),Inputs!$D$7,Inputs!$D$9,Inputs!$D$11)),1-NORM.S.DIST((LN(B180)-CHOOSE(MATCH(Inputs!$B$3,{"weibull","lognormal","loglogistic"},0),Inputs!$D$7,Inputs!$D$9,Inputs!$D$11))/CHOOSE(MATCH(Inputs!$B$3,{"weibull","lognormal","loglogistic"},0),Inputs!$F$7,Inputs!$F$9,Inputs!$F$11),TRUE))))</f>
        <v/>
      </c>
      <c r="D180">
        <f>IF(B180=0,1,IF(Inputs!$B$3="weibull",EXP(-(B180/CHOOSE(MATCH(Inputs!$B$3,{"weibull","lognormal","loglogistic"},0),Inputs!$F$8,Inputs!$F$10,Inputs!$F$12))^CHOOSE(MATCH(Inputs!$B$3,{"weibull","lognormal","loglogistic"},0),Inputs!$D$8,Inputs!$D$10,Inputs!$D$12)),IF(Inputs!$B$3="loglogistic",1/(1+(B180/CHOOSE(MATCH(Inputs!$B$3,{"weibull","lognormal","loglogistic"},0),Inputs!$F$8,Inputs!$F$10,Inputs!$F$12))^CHOOSE(MATCH(Inputs!$B$3,{"weibull","lognormal","loglogistic"},0),Inputs!$D$8,Inputs!$D$10,Inputs!$D$12)),1-NORM.S.DIST((LN(B180)-CHOOSE(MATCH(Inputs!$B$3,{"weibull","lognormal","loglogistic"},0),Inputs!$D$8,Inputs!$D$10,Inputs!$D$12))/CHOOSE(MATCH(Inputs!$B$3,{"weibull","lognormal","loglogistic"},0),Inputs!$F$8,Inputs!$F$10,Inputs!$F$12),TRUE))))</f>
        <v/>
      </c>
      <c r="E180">
        <f>(C179+C180)/2/12</f>
        <v/>
      </c>
      <c r="F180">
        <f>(D179+D180)/2/12</f>
        <v/>
      </c>
    </row>
    <row r="181">
      <c r="A181" t="n">
        <v>179</v>
      </c>
      <c r="B181">
        <f>A181/12</f>
        <v/>
      </c>
      <c r="C181">
        <f>IF(B181=0,1,IF(Inputs!$B$3="weibull",EXP(-(B181/CHOOSE(MATCH(Inputs!$B$3,{"weibull","lognormal","loglogistic"},0),Inputs!$F$7,Inputs!$F$9,Inputs!$F$11))^CHOOSE(MATCH(Inputs!$B$3,{"weibull","lognormal","loglogistic"},0),Inputs!$D$7,Inputs!$D$9,Inputs!$D$11)),IF(Inputs!$B$3="loglogistic",1/(1+(B181/CHOOSE(MATCH(Inputs!$B$3,{"weibull","lognormal","loglogistic"},0),Inputs!$F$7,Inputs!$F$9,Inputs!$F$11))^CHOOSE(MATCH(Inputs!$B$3,{"weibull","lognormal","loglogistic"},0),Inputs!$D$7,Inputs!$D$9,Inputs!$D$11)),1-NORM.S.DIST((LN(B181)-CHOOSE(MATCH(Inputs!$B$3,{"weibull","lognormal","loglogistic"},0),Inputs!$D$7,Inputs!$D$9,Inputs!$D$11))/CHOOSE(MATCH(Inputs!$B$3,{"weibull","lognormal","loglogistic"},0),Inputs!$F$7,Inputs!$F$9,Inputs!$F$11),TRUE))))</f>
        <v/>
      </c>
      <c r="D181">
        <f>IF(B181=0,1,IF(Inputs!$B$3="weibull",EXP(-(B181/CHOOSE(MATCH(Inputs!$B$3,{"weibull","lognormal","loglogistic"},0),Inputs!$F$8,Inputs!$F$10,Inputs!$F$12))^CHOOSE(MATCH(Inputs!$B$3,{"weibull","lognormal","loglogistic"},0),Inputs!$D$8,Inputs!$D$10,Inputs!$D$12)),IF(Inputs!$B$3="loglogistic",1/(1+(B181/CHOOSE(MATCH(Inputs!$B$3,{"weibull","lognormal","loglogistic"},0),Inputs!$F$8,Inputs!$F$10,Inputs!$F$12))^CHOOSE(MATCH(Inputs!$B$3,{"weibull","lognormal","loglogistic"},0),Inputs!$D$8,Inputs!$D$10,Inputs!$D$12)),1-NORM.S.DIST((LN(B181)-CHOOSE(MATCH(Inputs!$B$3,{"weibull","lognormal","loglogistic"},0),Inputs!$D$8,Inputs!$D$10,Inputs!$D$12))/CHOOSE(MATCH(Inputs!$B$3,{"weibull","lognormal","loglogistic"},0),Inputs!$F$8,Inputs!$F$10,Inputs!$F$12),TRUE))))</f>
        <v/>
      </c>
      <c r="E181">
        <f>(C180+C181)/2/12</f>
        <v/>
      </c>
      <c r="F181">
        <f>(D180+D181)/2/12</f>
        <v/>
      </c>
    </row>
    <row r="182">
      <c r="A182" t="n">
        <v>180</v>
      </c>
      <c r="B182">
        <f>A182/12</f>
        <v/>
      </c>
      <c r="C182">
        <f>IF(B182=0,1,IF(Inputs!$B$3="weibull",EXP(-(B182/CHOOSE(MATCH(Inputs!$B$3,{"weibull","lognormal","loglogistic"},0),Inputs!$F$7,Inputs!$F$9,Inputs!$F$11))^CHOOSE(MATCH(Inputs!$B$3,{"weibull","lognormal","loglogistic"},0),Inputs!$D$7,Inputs!$D$9,Inputs!$D$11)),IF(Inputs!$B$3="loglogistic",1/(1+(B182/CHOOSE(MATCH(Inputs!$B$3,{"weibull","lognormal","loglogistic"},0),Inputs!$F$7,Inputs!$F$9,Inputs!$F$11))^CHOOSE(MATCH(Inputs!$B$3,{"weibull","lognormal","loglogistic"},0),Inputs!$D$7,Inputs!$D$9,Inputs!$D$11)),1-NORM.S.DIST((LN(B182)-CHOOSE(MATCH(Inputs!$B$3,{"weibull","lognormal","loglogistic"},0),Inputs!$D$7,Inputs!$D$9,Inputs!$D$11))/CHOOSE(MATCH(Inputs!$B$3,{"weibull","lognormal","loglogistic"},0),Inputs!$F$7,Inputs!$F$9,Inputs!$F$11),TRUE))))</f>
        <v/>
      </c>
      <c r="D182">
        <f>IF(B182=0,1,IF(Inputs!$B$3="weibull",EXP(-(B182/CHOOSE(MATCH(Inputs!$B$3,{"weibull","lognormal","loglogistic"},0),Inputs!$F$8,Inputs!$F$10,Inputs!$F$12))^CHOOSE(MATCH(Inputs!$B$3,{"weibull","lognormal","loglogistic"},0),Inputs!$D$8,Inputs!$D$10,Inputs!$D$12)),IF(Inputs!$B$3="loglogistic",1/(1+(B182/CHOOSE(MATCH(Inputs!$B$3,{"weibull","lognormal","loglogistic"},0),Inputs!$F$8,Inputs!$F$10,Inputs!$F$12))^CHOOSE(MATCH(Inputs!$B$3,{"weibull","lognormal","loglogistic"},0),Inputs!$D$8,Inputs!$D$10,Inputs!$D$12)),1-NORM.S.DIST((LN(B182)-CHOOSE(MATCH(Inputs!$B$3,{"weibull","lognormal","loglogistic"},0),Inputs!$D$8,Inputs!$D$10,Inputs!$D$12))/CHOOSE(MATCH(Inputs!$B$3,{"weibull","lognormal","loglogistic"},0),Inputs!$F$8,Inputs!$F$10,Inputs!$F$12),TRUE))))</f>
        <v/>
      </c>
      <c r="E182">
        <f>(C181+C182)/2/12</f>
        <v/>
      </c>
      <c r="F182">
        <f>(D181+D182)/2/12</f>
        <v/>
      </c>
    </row>
    <row r="183">
      <c r="A183" t="n">
        <v>181</v>
      </c>
      <c r="B183">
        <f>A183/12</f>
        <v/>
      </c>
      <c r="C183">
        <f>IF(B183=0,1,IF(Inputs!$B$3="weibull",EXP(-(B183/CHOOSE(MATCH(Inputs!$B$3,{"weibull","lognormal","loglogistic"},0),Inputs!$F$7,Inputs!$F$9,Inputs!$F$11))^CHOOSE(MATCH(Inputs!$B$3,{"weibull","lognormal","loglogistic"},0),Inputs!$D$7,Inputs!$D$9,Inputs!$D$11)),IF(Inputs!$B$3="loglogistic",1/(1+(B183/CHOOSE(MATCH(Inputs!$B$3,{"weibull","lognormal","loglogistic"},0),Inputs!$F$7,Inputs!$F$9,Inputs!$F$11))^CHOOSE(MATCH(Inputs!$B$3,{"weibull","lognormal","loglogistic"},0),Inputs!$D$7,Inputs!$D$9,Inputs!$D$11)),1-NORM.S.DIST((LN(B183)-CHOOSE(MATCH(Inputs!$B$3,{"weibull","lognormal","loglogistic"},0),Inputs!$D$7,Inputs!$D$9,Inputs!$D$11))/CHOOSE(MATCH(Inputs!$B$3,{"weibull","lognormal","loglogistic"},0),Inputs!$F$7,Inputs!$F$9,Inputs!$F$11),TRUE))))</f>
        <v/>
      </c>
      <c r="D183">
        <f>IF(B183=0,1,IF(Inputs!$B$3="weibull",EXP(-(B183/CHOOSE(MATCH(Inputs!$B$3,{"weibull","lognormal","loglogistic"},0),Inputs!$F$8,Inputs!$F$10,Inputs!$F$12))^CHOOSE(MATCH(Inputs!$B$3,{"weibull","lognormal","loglogistic"},0),Inputs!$D$8,Inputs!$D$10,Inputs!$D$12)),IF(Inputs!$B$3="loglogistic",1/(1+(B183/CHOOSE(MATCH(Inputs!$B$3,{"weibull","lognormal","loglogistic"},0),Inputs!$F$8,Inputs!$F$10,Inputs!$F$12))^CHOOSE(MATCH(Inputs!$B$3,{"weibull","lognormal","loglogistic"},0),Inputs!$D$8,Inputs!$D$10,Inputs!$D$12)),1-NORM.S.DIST((LN(B183)-CHOOSE(MATCH(Inputs!$B$3,{"weibull","lognormal","loglogistic"},0),Inputs!$D$8,Inputs!$D$10,Inputs!$D$12))/CHOOSE(MATCH(Inputs!$B$3,{"weibull","lognormal","loglogistic"},0),Inputs!$F$8,Inputs!$F$10,Inputs!$F$12),TRUE))))</f>
        <v/>
      </c>
      <c r="E183">
        <f>(C182+C183)/2/12</f>
        <v/>
      </c>
      <c r="F183">
        <f>(D182+D183)/2/12</f>
        <v/>
      </c>
    </row>
    <row r="184">
      <c r="A184" t="n">
        <v>182</v>
      </c>
      <c r="B184">
        <f>A184/12</f>
        <v/>
      </c>
      <c r="C184">
        <f>IF(B184=0,1,IF(Inputs!$B$3="weibull",EXP(-(B184/CHOOSE(MATCH(Inputs!$B$3,{"weibull","lognormal","loglogistic"},0),Inputs!$F$7,Inputs!$F$9,Inputs!$F$11))^CHOOSE(MATCH(Inputs!$B$3,{"weibull","lognormal","loglogistic"},0),Inputs!$D$7,Inputs!$D$9,Inputs!$D$11)),IF(Inputs!$B$3="loglogistic",1/(1+(B184/CHOOSE(MATCH(Inputs!$B$3,{"weibull","lognormal","loglogistic"},0),Inputs!$F$7,Inputs!$F$9,Inputs!$F$11))^CHOOSE(MATCH(Inputs!$B$3,{"weibull","lognormal","loglogistic"},0),Inputs!$D$7,Inputs!$D$9,Inputs!$D$11)),1-NORM.S.DIST((LN(B184)-CHOOSE(MATCH(Inputs!$B$3,{"weibull","lognormal","loglogistic"},0),Inputs!$D$7,Inputs!$D$9,Inputs!$D$11))/CHOOSE(MATCH(Inputs!$B$3,{"weibull","lognormal","loglogistic"},0),Inputs!$F$7,Inputs!$F$9,Inputs!$F$11),TRUE))))</f>
        <v/>
      </c>
      <c r="D184">
        <f>IF(B184=0,1,IF(Inputs!$B$3="weibull",EXP(-(B184/CHOOSE(MATCH(Inputs!$B$3,{"weibull","lognormal","loglogistic"},0),Inputs!$F$8,Inputs!$F$10,Inputs!$F$12))^CHOOSE(MATCH(Inputs!$B$3,{"weibull","lognormal","loglogistic"},0),Inputs!$D$8,Inputs!$D$10,Inputs!$D$12)),IF(Inputs!$B$3="loglogistic",1/(1+(B184/CHOOSE(MATCH(Inputs!$B$3,{"weibull","lognormal","loglogistic"},0),Inputs!$F$8,Inputs!$F$10,Inputs!$F$12))^CHOOSE(MATCH(Inputs!$B$3,{"weibull","lognormal","loglogistic"},0),Inputs!$D$8,Inputs!$D$10,Inputs!$D$12)),1-NORM.S.DIST((LN(B184)-CHOOSE(MATCH(Inputs!$B$3,{"weibull","lognormal","loglogistic"},0),Inputs!$D$8,Inputs!$D$10,Inputs!$D$12))/CHOOSE(MATCH(Inputs!$B$3,{"weibull","lognormal","loglogistic"},0),Inputs!$F$8,Inputs!$F$10,Inputs!$F$12),TRUE))))</f>
        <v/>
      </c>
      <c r="E184">
        <f>(C183+C184)/2/12</f>
        <v/>
      </c>
      <c r="F184">
        <f>(D183+D184)/2/12</f>
        <v/>
      </c>
    </row>
    <row r="185">
      <c r="A185" t="n">
        <v>183</v>
      </c>
      <c r="B185">
        <f>A185/12</f>
        <v/>
      </c>
      <c r="C185">
        <f>IF(B185=0,1,IF(Inputs!$B$3="weibull",EXP(-(B185/CHOOSE(MATCH(Inputs!$B$3,{"weibull","lognormal","loglogistic"},0),Inputs!$F$7,Inputs!$F$9,Inputs!$F$11))^CHOOSE(MATCH(Inputs!$B$3,{"weibull","lognormal","loglogistic"},0),Inputs!$D$7,Inputs!$D$9,Inputs!$D$11)),IF(Inputs!$B$3="loglogistic",1/(1+(B185/CHOOSE(MATCH(Inputs!$B$3,{"weibull","lognormal","loglogistic"},0),Inputs!$F$7,Inputs!$F$9,Inputs!$F$11))^CHOOSE(MATCH(Inputs!$B$3,{"weibull","lognormal","loglogistic"},0),Inputs!$D$7,Inputs!$D$9,Inputs!$D$11)),1-NORM.S.DIST((LN(B185)-CHOOSE(MATCH(Inputs!$B$3,{"weibull","lognormal","loglogistic"},0),Inputs!$D$7,Inputs!$D$9,Inputs!$D$11))/CHOOSE(MATCH(Inputs!$B$3,{"weibull","lognormal","loglogistic"},0),Inputs!$F$7,Inputs!$F$9,Inputs!$F$11),TRUE))))</f>
        <v/>
      </c>
      <c r="D185">
        <f>IF(B185=0,1,IF(Inputs!$B$3="weibull",EXP(-(B185/CHOOSE(MATCH(Inputs!$B$3,{"weibull","lognormal","loglogistic"},0),Inputs!$F$8,Inputs!$F$10,Inputs!$F$12))^CHOOSE(MATCH(Inputs!$B$3,{"weibull","lognormal","loglogistic"},0),Inputs!$D$8,Inputs!$D$10,Inputs!$D$12)),IF(Inputs!$B$3="loglogistic",1/(1+(B185/CHOOSE(MATCH(Inputs!$B$3,{"weibull","lognormal","loglogistic"},0),Inputs!$F$8,Inputs!$F$10,Inputs!$F$12))^CHOOSE(MATCH(Inputs!$B$3,{"weibull","lognormal","loglogistic"},0),Inputs!$D$8,Inputs!$D$10,Inputs!$D$12)),1-NORM.S.DIST((LN(B185)-CHOOSE(MATCH(Inputs!$B$3,{"weibull","lognormal","loglogistic"},0),Inputs!$D$8,Inputs!$D$10,Inputs!$D$12))/CHOOSE(MATCH(Inputs!$B$3,{"weibull","lognormal","loglogistic"},0),Inputs!$F$8,Inputs!$F$10,Inputs!$F$12),TRUE))))</f>
        <v/>
      </c>
      <c r="E185">
        <f>(C184+C185)/2/12</f>
        <v/>
      </c>
      <c r="F185">
        <f>(D184+D185)/2/12</f>
        <v/>
      </c>
    </row>
    <row r="186">
      <c r="A186" t="n">
        <v>184</v>
      </c>
      <c r="B186">
        <f>A186/12</f>
        <v/>
      </c>
      <c r="C186">
        <f>IF(B186=0,1,IF(Inputs!$B$3="weibull",EXP(-(B186/CHOOSE(MATCH(Inputs!$B$3,{"weibull","lognormal","loglogistic"},0),Inputs!$F$7,Inputs!$F$9,Inputs!$F$11))^CHOOSE(MATCH(Inputs!$B$3,{"weibull","lognormal","loglogistic"},0),Inputs!$D$7,Inputs!$D$9,Inputs!$D$11)),IF(Inputs!$B$3="loglogistic",1/(1+(B186/CHOOSE(MATCH(Inputs!$B$3,{"weibull","lognormal","loglogistic"},0),Inputs!$F$7,Inputs!$F$9,Inputs!$F$11))^CHOOSE(MATCH(Inputs!$B$3,{"weibull","lognormal","loglogistic"},0),Inputs!$D$7,Inputs!$D$9,Inputs!$D$11)),1-NORM.S.DIST((LN(B186)-CHOOSE(MATCH(Inputs!$B$3,{"weibull","lognormal","loglogistic"},0),Inputs!$D$7,Inputs!$D$9,Inputs!$D$11))/CHOOSE(MATCH(Inputs!$B$3,{"weibull","lognormal","loglogistic"},0),Inputs!$F$7,Inputs!$F$9,Inputs!$F$11),TRUE))))</f>
        <v/>
      </c>
      <c r="D186">
        <f>IF(B186=0,1,IF(Inputs!$B$3="weibull",EXP(-(B186/CHOOSE(MATCH(Inputs!$B$3,{"weibull","lognormal","loglogistic"},0),Inputs!$F$8,Inputs!$F$10,Inputs!$F$12))^CHOOSE(MATCH(Inputs!$B$3,{"weibull","lognormal","loglogistic"},0),Inputs!$D$8,Inputs!$D$10,Inputs!$D$12)),IF(Inputs!$B$3="loglogistic",1/(1+(B186/CHOOSE(MATCH(Inputs!$B$3,{"weibull","lognormal","loglogistic"},0),Inputs!$F$8,Inputs!$F$10,Inputs!$F$12))^CHOOSE(MATCH(Inputs!$B$3,{"weibull","lognormal","loglogistic"},0),Inputs!$D$8,Inputs!$D$10,Inputs!$D$12)),1-NORM.S.DIST((LN(B186)-CHOOSE(MATCH(Inputs!$B$3,{"weibull","lognormal","loglogistic"},0),Inputs!$D$8,Inputs!$D$10,Inputs!$D$12))/CHOOSE(MATCH(Inputs!$B$3,{"weibull","lognormal","loglogistic"},0),Inputs!$F$8,Inputs!$F$10,Inputs!$F$12),TRUE))))</f>
        <v/>
      </c>
      <c r="E186">
        <f>(C185+C186)/2/12</f>
        <v/>
      </c>
      <c r="F186">
        <f>(D185+D186)/2/12</f>
        <v/>
      </c>
    </row>
    <row r="187">
      <c r="A187" t="n">
        <v>185</v>
      </c>
      <c r="B187">
        <f>A187/12</f>
        <v/>
      </c>
      <c r="C187">
        <f>IF(B187=0,1,IF(Inputs!$B$3="weibull",EXP(-(B187/CHOOSE(MATCH(Inputs!$B$3,{"weibull","lognormal","loglogistic"},0),Inputs!$F$7,Inputs!$F$9,Inputs!$F$11))^CHOOSE(MATCH(Inputs!$B$3,{"weibull","lognormal","loglogistic"},0),Inputs!$D$7,Inputs!$D$9,Inputs!$D$11)),IF(Inputs!$B$3="loglogistic",1/(1+(B187/CHOOSE(MATCH(Inputs!$B$3,{"weibull","lognormal","loglogistic"},0),Inputs!$F$7,Inputs!$F$9,Inputs!$F$11))^CHOOSE(MATCH(Inputs!$B$3,{"weibull","lognormal","loglogistic"},0),Inputs!$D$7,Inputs!$D$9,Inputs!$D$11)),1-NORM.S.DIST((LN(B187)-CHOOSE(MATCH(Inputs!$B$3,{"weibull","lognormal","loglogistic"},0),Inputs!$D$7,Inputs!$D$9,Inputs!$D$11))/CHOOSE(MATCH(Inputs!$B$3,{"weibull","lognormal","loglogistic"},0),Inputs!$F$7,Inputs!$F$9,Inputs!$F$11),TRUE))))</f>
        <v/>
      </c>
      <c r="D187">
        <f>IF(B187=0,1,IF(Inputs!$B$3="weibull",EXP(-(B187/CHOOSE(MATCH(Inputs!$B$3,{"weibull","lognormal","loglogistic"},0),Inputs!$F$8,Inputs!$F$10,Inputs!$F$12))^CHOOSE(MATCH(Inputs!$B$3,{"weibull","lognormal","loglogistic"},0),Inputs!$D$8,Inputs!$D$10,Inputs!$D$12)),IF(Inputs!$B$3="loglogistic",1/(1+(B187/CHOOSE(MATCH(Inputs!$B$3,{"weibull","lognormal","loglogistic"},0),Inputs!$F$8,Inputs!$F$10,Inputs!$F$12))^CHOOSE(MATCH(Inputs!$B$3,{"weibull","lognormal","loglogistic"},0),Inputs!$D$8,Inputs!$D$10,Inputs!$D$12)),1-NORM.S.DIST((LN(B187)-CHOOSE(MATCH(Inputs!$B$3,{"weibull","lognormal","loglogistic"},0),Inputs!$D$8,Inputs!$D$10,Inputs!$D$12))/CHOOSE(MATCH(Inputs!$B$3,{"weibull","lognormal","loglogistic"},0),Inputs!$F$8,Inputs!$F$10,Inputs!$F$12),TRUE))))</f>
        <v/>
      </c>
      <c r="E187">
        <f>(C186+C187)/2/12</f>
        <v/>
      </c>
      <c r="F187">
        <f>(D186+D187)/2/12</f>
        <v/>
      </c>
    </row>
    <row r="188">
      <c r="A188" t="n">
        <v>186</v>
      </c>
      <c r="B188">
        <f>A188/12</f>
        <v/>
      </c>
      <c r="C188">
        <f>IF(B188=0,1,IF(Inputs!$B$3="weibull",EXP(-(B188/CHOOSE(MATCH(Inputs!$B$3,{"weibull","lognormal","loglogistic"},0),Inputs!$F$7,Inputs!$F$9,Inputs!$F$11))^CHOOSE(MATCH(Inputs!$B$3,{"weibull","lognormal","loglogistic"},0),Inputs!$D$7,Inputs!$D$9,Inputs!$D$11)),IF(Inputs!$B$3="loglogistic",1/(1+(B188/CHOOSE(MATCH(Inputs!$B$3,{"weibull","lognormal","loglogistic"},0),Inputs!$F$7,Inputs!$F$9,Inputs!$F$11))^CHOOSE(MATCH(Inputs!$B$3,{"weibull","lognormal","loglogistic"},0),Inputs!$D$7,Inputs!$D$9,Inputs!$D$11)),1-NORM.S.DIST((LN(B188)-CHOOSE(MATCH(Inputs!$B$3,{"weibull","lognormal","loglogistic"},0),Inputs!$D$7,Inputs!$D$9,Inputs!$D$11))/CHOOSE(MATCH(Inputs!$B$3,{"weibull","lognormal","loglogistic"},0),Inputs!$F$7,Inputs!$F$9,Inputs!$F$11),TRUE))))</f>
        <v/>
      </c>
      <c r="D188">
        <f>IF(B188=0,1,IF(Inputs!$B$3="weibull",EXP(-(B188/CHOOSE(MATCH(Inputs!$B$3,{"weibull","lognormal","loglogistic"},0),Inputs!$F$8,Inputs!$F$10,Inputs!$F$12))^CHOOSE(MATCH(Inputs!$B$3,{"weibull","lognormal","loglogistic"},0),Inputs!$D$8,Inputs!$D$10,Inputs!$D$12)),IF(Inputs!$B$3="loglogistic",1/(1+(B188/CHOOSE(MATCH(Inputs!$B$3,{"weibull","lognormal","loglogistic"},0),Inputs!$F$8,Inputs!$F$10,Inputs!$F$12))^CHOOSE(MATCH(Inputs!$B$3,{"weibull","lognormal","loglogistic"},0),Inputs!$D$8,Inputs!$D$10,Inputs!$D$12)),1-NORM.S.DIST((LN(B188)-CHOOSE(MATCH(Inputs!$B$3,{"weibull","lognormal","loglogistic"},0),Inputs!$D$8,Inputs!$D$10,Inputs!$D$12))/CHOOSE(MATCH(Inputs!$B$3,{"weibull","lognormal","loglogistic"},0),Inputs!$F$8,Inputs!$F$10,Inputs!$F$12),TRUE))))</f>
        <v/>
      </c>
      <c r="E188">
        <f>(C187+C188)/2/12</f>
        <v/>
      </c>
      <c r="F188">
        <f>(D187+D188)/2/12</f>
        <v/>
      </c>
    </row>
    <row r="189">
      <c r="A189" t="n">
        <v>187</v>
      </c>
      <c r="B189">
        <f>A189/12</f>
        <v/>
      </c>
      <c r="C189">
        <f>IF(B189=0,1,IF(Inputs!$B$3="weibull",EXP(-(B189/CHOOSE(MATCH(Inputs!$B$3,{"weibull","lognormal","loglogistic"},0),Inputs!$F$7,Inputs!$F$9,Inputs!$F$11))^CHOOSE(MATCH(Inputs!$B$3,{"weibull","lognormal","loglogistic"},0),Inputs!$D$7,Inputs!$D$9,Inputs!$D$11)),IF(Inputs!$B$3="loglogistic",1/(1+(B189/CHOOSE(MATCH(Inputs!$B$3,{"weibull","lognormal","loglogistic"},0),Inputs!$F$7,Inputs!$F$9,Inputs!$F$11))^CHOOSE(MATCH(Inputs!$B$3,{"weibull","lognormal","loglogistic"},0),Inputs!$D$7,Inputs!$D$9,Inputs!$D$11)),1-NORM.S.DIST((LN(B189)-CHOOSE(MATCH(Inputs!$B$3,{"weibull","lognormal","loglogistic"},0),Inputs!$D$7,Inputs!$D$9,Inputs!$D$11))/CHOOSE(MATCH(Inputs!$B$3,{"weibull","lognormal","loglogistic"},0),Inputs!$F$7,Inputs!$F$9,Inputs!$F$11),TRUE))))</f>
        <v/>
      </c>
      <c r="D189">
        <f>IF(B189=0,1,IF(Inputs!$B$3="weibull",EXP(-(B189/CHOOSE(MATCH(Inputs!$B$3,{"weibull","lognormal","loglogistic"},0),Inputs!$F$8,Inputs!$F$10,Inputs!$F$12))^CHOOSE(MATCH(Inputs!$B$3,{"weibull","lognormal","loglogistic"},0),Inputs!$D$8,Inputs!$D$10,Inputs!$D$12)),IF(Inputs!$B$3="loglogistic",1/(1+(B189/CHOOSE(MATCH(Inputs!$B$3,{"weibull","lognormal","loglogistic"},0),Inputs!$F$8,Inputs!$F$10,Inputs!$F$12))^CHOOSE(MATCH(Inputs!$B$3,{"weibull","lognormal","loglogistic"},0),Inputs!$D$8,Inputs!$D$10,Inputs!$D$12)),1-NORM.S.DIST((LN(B189)-CHOOSE(MATCH(Inputs!$B$3,{"weibull","lognormal","loglogistic"},0),Inputs!$D$8,Inputs!$D$10,Inputs!$D$12))/CHOOSE(MATCH(Inputs!$B$3,{"weibull","lognormal","loglogistic"},0),Inputs!$F$8,Inputs!$F$10,Inputs!$F$12),TRUE))))</f>
        <v/>
      </c>
      <c r="E189">
        <f>(C188+C189)/2/12</f>
        <v/>
      </c>
      <c r="F189">
        <f>(D188+D189)/2/12</f>
        <v/>
      </c>
    </row>
    <row r="190">
      <c r="A190" t="n">
        <v>188</v>
      </c>
      <c r="B190">
        <f>A190/12</f>
        <v/>
      </c>
      <c r="C190">
        <f>IF(B190=0,1,IF(Inputs!$B$3="weibull",EXP(-(B190/CHOOSE(MATCH(Inputs!$B$3,{"weibull","lognormal","loglogistic"},0),Inputs!$F$7,Inputs!$F$9,Inputs!$F$11))^CHOOSE(MATCH(Inputs!$B$3,{"weibull","lognormal","loglogistic"},0),Inputs!$D$7,Inputs!$D$9,Inputs!$D$11)),IF(Inputs!$B$3="loglogistic",1/(1+(B190/CHOOSE(MATCH(Inputs!$B$3,{"weibull","lognormal","loglogistic"},0),Inputs!$F$7,Inputs!$F$9,Inputs!$F$11))^CHOOSE(MATCH(Inputs!$B$3,{"weibull","lognormal","loglogistic"},0),Inputs!$D$7,Inputs!$D$9,Inputs!$D$11)),1-NORM.S.DIST((LN(B190)-CHOOSE(MATCH(Inputs!$B$3,{"weibull","lognormal","loglogistic"},0),Inputs!$D$7,Inputs!$D$9,Inputs!$D$11))/CHOOSE(MATCH(Inputs!$B$3,{"weibull","lognormal","loglogistic"},0),Inputs!$F$7,Inputs!$F$9,Inputs!$F$11),TRUE))))</f>
        <v/>
      </c>
      <c r="D190">
        <f>IF(B190=0,1,IF(Inputs!$B$3="weibull",EXP(-(B190/CHOOSE(MATCH(Inputs!$B$3,{"weibull","lognormal","loglogistic"},0),Inputs!$F$8,Inputs!$F$10,Inputs!$F$12))^CHOOSE(MATCH(Inputs!$B$3,{"weibull","lognormal","loglogistic"},0),Inputs!$D$8,Inputs!$D$10,Inputs!$D$12)),IF(Inputs!$B$3="loglogistic",1/(1+(B190/CHOOSE(MATCH(Inputs!$B$3,{"weibull","lognormal","loglogistic"},0),Inputs!$F$8,Inputs!$F$10,Inputs!$F$12))^CHOOSE(MATCH(Inputs!$B$3,{"weibull","lognormal","loglogistic"},0),Inputs!$D$8,Inputs!$D$10,Inputs!$D$12)),1-NORM.S.DIST((LN(B190)-CHOOSE(MATCH(Inputs!$B$3,{"weibull","lognormal","loglogistic"},0),Inputs!$D$8,Inputs!$D$10,Inputs!$D$12))/CHOOSE(MATCH(Inputs!$B$3,{"weibull","lognormal","loglogistic"},0),Inputs!$F$8,Inputs!$F$10,Inputs!$F$12),TRUE))))</f>
        <v/>
      </c>
      <c r="E190">
        <f>(C189+C190)/2/12</f>
        <v/>
      </c>
      <c r="F190">
        <f>(D189+D190)/2/12</f>
        <v/>
      </c>
    </row>
    <row r="191">
      <c r="A191" t="n">
        <v>189</v>
      </c>
      <c r="B191">
        <f>A191/12</f>
        <v/>
      </c>
      <c r="C191">
        <f>IF(B191=0,1,IF(Inputs!$B$3="weibull",EXP(-(B191/CHOOSE(MATCH(Inputs!$B$3,{"weibull","lognormal","loglogistic"},0),Inputs!$F$7,Inputs!$F$9,Inputs!$F$11))^CHOOSE(MATCH(Inputs!$B$3,{"weibull","lognormal","loglogistic"},0),Inputs!$D$7,Inputs!$D$9,Inputs!$D$11)),IF(Inputs!$B$3="loglogistic",1/(1+(B191/CHOOSE(MATCH(Inputs!$B$3,{"weibull","lognormal","loglogistic"},0),Inputs!$F$7,Inputs!$F$9,Inputs!$F$11))^CHOOSE(MATCH(Inputs!$B$3,{"weibull","lognormal","loglogistic"},0),Inputs!$D$7,Inputs!$D$9,Inputs!$D$11)),1-NORM.S.DIST((LN(B191)-CHOOSE(MATCH(Inputs!$B$3,{"weibull","lognormal","loglogistic"},0),Inputs!$D$7,Inputs!$D$9,Inputs!$D$11))/CHOOSE(MATCH(Inputs!$B$3,{"weibull","lognormal","loglogistic"},0),Inputs!$F$7,Inputs!$F$9,Inputs!$F$11),TRUE))))</f>
        <v/>
      </c>
      <c r="D191">
        <f>IF(B191=0,1,IF(Inputs!$B$3="weibull",EXP(-(B191/CHOOSE(MATCH(Inputs!$B$3,{"weibull","lognormal","loglogistic"},0),Inputs!$F$8,Inputs!$F$10,Inputs!$F$12))^CHOOSE(MATCH(Inputs!$B$3,{"weibull","lognormal","loglogistic"},0),Inputs!$D$8,Inputs!$D$10,Inputs!$D$12)),IF(Inputs!$B$3="loglogistic",1/(1+(B191/CHOOSE(MATCH(Inputs!$B$3,{"weibull","lognormal","loglogistic"},0),Inputs!$F$8,Inputs!$F$10,Inputs!$F$12))^CHOOSE(MATCH(Inputs!$B$3,{"weibull","lognormal","loglogistic"},0),Inputs!$D$8,Inputs!$D$10,Inputs!$D$12)),1-NORM.S.DIST((LN(B191)-CHOOSE(MATCH(Inputs!$B$3,{"weibull","lognormal","loglogistic"},0),Inputs!$D$8,Inputs!$D$10,Inputs!$D$12))/CHOOSE(MATCH(Inputs!$B$3,{"weibull","lognormal","loglogistic"},0),Inputs!$F$8,Inputs!$F$10,Inputs!$F$12),TRUE))))</f>
        <v/>
      </c>
      <c r="E191">
        <f>(C190+C191)/2/12</f>
        <v/>
      </c>
      <c r="F191">
        <f>(D190+D191)/2/12</f>
        <v/>
      </c>
    </row>
    <row r="192">
      <c r="A192" t="n">
        <v>190</v>
      </c>
      <c r="B192">
        <f>A192/12</f>
        <v/>
      </c>
      <c r="C192">
        <f>IF(B192=0,1,IF(Inputs!$B$3="weibull",EXP(-(B192/CHOOSE(MATCH(Inputs!$B$3,{"weibull","lognormal","loglogistic"},0),Inputs!$F$7,Inputs!$F$9,Inputs!$F$11))^CHOOSE(MATCH(Inputs!$B$3,{"weibull","lognormal","loglogistic"},0),Inputs!$D$7,Inputs!$D$9,Inputs!$D$11)),IF(Inputs!$B$3="loglogistic",1/(1+(B192/CHOOSE(MATCH(Inputs!$B$3,{"weibull","lognormal","loglogistic"},0),Inputs!$F$7,Inputs!$F$9,Inputs!$F$11))^CHOOSE(MATCH(Inputs!$B$3,{"weibull","lognormal","loglogistic"},0),Inputs!$D$7,Inputs!$D$9,Inputs!$D$11)),1-NORM.S.DIST((LN(B192)-CHOOSE(MATCH(Inputs!$B$3,{"weibull","lognormal","loglogistic"},0),Inputs!$D$7,Inputs!$D$9,Inputs!$D$11))/CHOOSE(MATCH(Inputs!$B$3,{"weibull","lognormal","loglogistic"},0),Inputs!$F$7,Inputs!$F$9,Inputs!$F$11),TRUE))))</f>
        <v/>
      </c>
      <c r="D192">
        <f>IF(B192=0,1,IF(Inputs!$B$3="weibull",EXP(-(B192/CHOOSE(MATCH(Inputs!$B$3,{"weibull","lognormal","loglogistic"},0),Inputs!$F$8,Inputs!$F$10,Inputs!$F$12))^CHOOSE(MATCH(Inputs!$B$3,{"weibull","lognormal","loglogistic"},0),Inputs!$D$8,Inputs!$D$10,Inputs!$D$12)),IF(Inputs!$B$3="loglogistic",1/(1+(B192/CHOOSE(MATCH(Inputs!$B$3,{"weibull","lognormal","loglogistic"},0),Inputs!$F$8,Inputs!$F$10,Inputs!$F$12))^CHOOSE(MATCH(Inputs!$B$3,{"weibull","lognormal","loglogistic"},0),Inputs!$D$8,Inputs!$D$10,Inputs!$D$12)),1-NORM.S.DIST((LN(B192)-CHOOSE(MATCH(Inputs!$B$3,{"weibull","lognormal","loglogistic"},0),Inputs!$D$8,Inputs!$D$10,Inputs!$D$12))/CHOOSE(MATCH(Inputs!$B$3,{"weibull","lognormal","loglogistic"},0),Inputs!$F$8,Inputs!$F$10,Inputs!$F$12),TRUE))))</f>
        <v/>
      </c>
      <c r="E192">
        <f>(C191+C192)/2/12</f>
        <v/>
      </c>
      <c r="F192">
        <f>(D191+D192)/2/12</f>
        <v/>
      </c>
    </row>
    <row r="193">
      <c r="A193" t="n">
        <v>191</v>
      </c>
      <c r="B193">
        <f>A193/12</f>
        <v/>
      </c>
      <c r="C193">
        <f>IF(B193=0,1,IF(Inputs!$B$3="weibull",EXP(-(B193/CHOOSE(MATCH(Inputs!$B$3,{"weibull","lognormal","loglogistic"},0),Inputs!$F$7,Inputs!$F$9,Inputs!$F$11))^CHOOSE(MATCH(Inputs!$B$3,{"weibull","lognormal","loglogistic"},0),Inputs!$D$7,Inputs!$D$9,Inputs!$D$11)),IF(Inputs!$B$3="loglogistic",1/(1+(B193/CHOOSE(MATCH(Inputs!$B$3,{"weibull","lognormal","loglogistic"},0),Inputs!$F$7,Inputs!$F$9,Inputs!$F$11))^CHOOSE(MATCH(Inputs!$B$3,{"weibull","lognormal","loglogistic"},0),Inputs!$D$7,Inputs!$D$9,Inputs!$D$11)),1-NORM.S.DIST((LN(B193)-CHOOSE(MATCH(Inputs!$B$3,{"weibull","lognormal","loglogistic"},0),Inputs!$D$7,Inputs!$D$9,Inputs!$D$11))/CHOOSE(MATCH(Inputs!$B$3,{"weibull","lognormal","loglogistic"},0),Inputs!$F$7,Inputs!$F$9,Inputs!$F$11),TRUE))))</f>
        <v/>
      </c>
      <c r="D193">
        <f>IF(B193=0,1,IF(Inputs!$B$3="weibull",EXP(-(B193/CHOOSE(MATCH(Inputs!$B$3,{"weibull","lognormal","loglogistic"},0),Inputs!$F$8,Inputs!$F$10,Inputs!$F$12))^CHOOSE(MATCH(Inputs!$B$3,{"weibull","lognormal","loglogistic"},0),Inputs!$D$8,Inputs!$D$10,Inputs!$D$12)),IF(Inputs!$B$3="loglogistic",1/(1+(B193/CHOOSE(MATCH(Inputs!$B$3,{"weibull","lognormal","loglogistic"},0),Inputs!$F$8,Inputs!$F$10,Inputs!$F$12))^CHOOSE(MATCH(Inputs!$B$3,{"weibull","lognormal","loglogistic"},0),Inputs!$D$8,Inputs!$D$10,Inputs!$D$12)),1-NORM.S.DIST((LN(B193)-CHOOSE(MATCH(Inputs!$B$3,{"weibull","lognormal","loglogistic"},0),Inputs!$D$8,Inputs!$D$10,Inputs!$D$12))/CHOOSE(MATCH(Inputs!$B$3,{"weibull","lognormal","loglogistic"},0),Inputs!$F$8,Inputs!$F$10,Inputs!$F$12),TRUE))))</f>
        <v/>
      </c>
      <c r="E193">
        <f>(C192+C193)/2/12</f>
        <v/>
      </c>
      <c r="F193">
        <f>(D192+D193)/2/12</f>
        <v/>
      </c>
    </row>
    <row r="194">
      <c r="A194" t="n">
        <v>192</v>
      </c>
      <c r="B194">
        <f>A194/12</f>
        <v/>
      </c>
      <c r="C194">
        <f>IF(B194=0,1,IF(Inputs!$B$3="weibull",EXP(-(B194/CHOOSE(MATCH(Inputs!$B$3,{"weibull","lognormal","loglogistic"},0),Inputs!$F$7,Inputs!$F$9,Inputs!$F$11))^CHOOSE(MATCH(Inputs!$B$3,{"weibull","lognormal","loglogistic"},0),Inputs!$D$7,Inputs!$D$9,Inputs!$D$11)),IF(Inputs!$B$3="loglogistic",1/(1+(B194/CHOOSE(MATCH(Inputs!$B$3,{"weibull","lognormal","loglogistic"},0),Inputs!$F$7,Inputs!$F$9,Inputs!$F$11))^CHOOSE(MATCH(Inputs!$B$3,{"weibull","lognormal","loglogistic"},0),Inputs!$D$7,Inputs!$D$9,Inputs!$D$11)),1-NORM.S.DIST((LN(B194)-CHOOSE(MATCH(Inputs!$B$3,{"weibull","lognormal","loglogistic"},0),Inputs!$D$7,Inputs!$D$9,Inputs!$D$11))/CHOOSE(MATCH(Inputs!$B$3,{"weibull","lognormal","loglogistic"},0),Inputs!$F$7,Inputs!$F$9,Inputs!$F$11),TRUE))))</f>
        <v/>
      </c>
      <c r="D194">
        <f>IF(B194=0,1,IF(Inputs!$B$3="weibull",EXP(-(B194/CHOOSE(MATCH(Inputs!$B$3,{"weibull","lognormal","loglogistic"},0),Inputs!$F$8,Inputs!$F$10,Inputs!$F$12))^CHOOSE(MATCH(Inputs!$B$3,{"weibull","lognormal","loglogistic"},0),Inputs!$D$8,Inputs!$D$10,Inputs!$D$12)),IF(Inputs!$B$3="loglogistic",1/(1+(B194/CHOOSE(MATCH(Inputs!$B$3,{"weibull","lognormal","loglogistic"},0),Inputs!$F$8,Inputs!$F$10,Inputs!$F$12))^CHOOSE(MATCH(Inputs!$B$3,{"weibull","lognormal","loglogistic"},0),Inputs!$D$8,Inputs!$D$10,Inputs!$D$12)),1-NORM.S.DIST((LN(B194)-CHOOSE(MATCH(Inputs!$B$3,{"weibull","lognormal","loglogistic"},0),Inputs!$D$8,Inputs!$D$10,Inputs!$D$12))/CHOOSE(MATCH(Inputs!$B$3,{"weibull","lognormal","loglogistic"},0),Inputs!$F$8,Inputs!$F$10,Inputs!$F$12),TRUE))))</f>
        <v/>
      </c>
      <c r="E194">
        <f>(C193+C194)/2/12</f>
        <v/>
      </c>
      <c r="F194">
        <f>(D193+D194)/2/12</f>
        <v/>
      </c>
    </row>
    <row r="195">
      <c r="A195" t="n">
        <v>193</v>
      </c>
      <c r="B195">
        <f>A195/12</f>
        <v/>
      </c>
      <c r="C195">
        <f>IF(B195=0,1,IF(Inputs!$B$3="weibull",EXP(-(B195/CHOOSE(MATCH(Inputs!$B$3,{"weibull","lognormal","loglogistic"},0),Inputs!$F$7,Inputs!$F$9,Inputs!$F$11))^CHOOSE(MATCH(Inputs!$B$3,{"weibull","lognormal","loglogistic"},0),Inputs!$D$7,Inputs!$D$9,Inputs!$D$11)),IF(Inputs!$B$3="loglogistic",1/(1+(B195/CHOOSE(MATCH(Inputs!$B$3,{"weibull","lognormal","loglogistic"},0),Inputs!$F$7,Inputs!$F$9,Inputs!$F$11))^CHOOSE(MATCH(Inputs!$B$3,{"weibull","lognormal","loglogistic"},0),Inputs!$D$7,Inputs!$D$9,Inputs!$D$11)),1-NORM.S.DIST((LN(B195)-CHOOSE(MATCH(Inputs!$B$3,{"weibull","lognormal","loglogistic"},0),Inputs!$D$7,Inputs!$D$9,Inputs!$D$11))/CHOOSE(MATCH(Inputs!$B$3,{"weibull","lognormal","loglogistic"},0),Inputs!$F$7,Inputs!$F$9,Inputs!$F$11),TRUE))))</f>
        <v/>
      </c>
      <c r="D195">
        <f>IF(B195=0,1,IF(Inputs!$B$3="weibull",EXP(-(B195/CHOOSE(MATCH(Inputs!$B$3,{"weibull","lognormal","loglogistic"},0),Inputs!$F$8,Inputs!$F$10,Inputs!$F$12))^CHOOSE(MATCH(Inputs!$B$3,{"weibull","lognormal","loglogistic"},0),Inputs!$D$8,Inputs!$D$10,Inputs!$D$12)),IF(Inputs!$B$3="loglogistic",1/(1+(B195/CHOOSE(MATCH(Inputs!$B$3,{"weibull","lognormal","loglogistic"},0),Inputs!$F$8,Inputs!$F$10,Inputs!$F$12))^CHOOSE(MATCH(Inputs!$B$3,{"weibull","lognormal","loglogistic"},0),Inputs!$D$8,Inputs!$D$10,Inputs!$D$12)),1-NORM.S.DIST((LN(B195)-CHOOSE(MATCH(Inputs!$B$3,{"weibull","lognormal","loglogistic"},0),Inputs!$D$8,Inputs!$D$10,Inputs!$D$12))/CHOOSE(MATCH(Inputs!$B$3,{"weibull","lognormal","loglogistic"},0),Inputs!$F$8,Inputs!$F$10,Inputs!$F$12),TRUE))))</f>
        <v/>
      </c>
      <c r="E195">
        <f>(C194+C195)/2/12</f>
        <v/>
      </c>
      <c r="F195">
        <f>(D194+D195)/2/12</f>
        <v/>
      </c>
    </row>
    <row r="196">
      <c r="A196" t="n">
        <v>194</v>
      </c>
      <c r="B196">
        <f>A196/12</f>
        <v/>
      </c>
      <c r="C196">
        <f>IF(B196=0,1,IF(Inputs!$B$3="weibull",EXP(-(B196/CHOOSE(MATCH(Inputs!$B$3,{"weibull","lognormal","loglogistic"},0),Inputs!$F$7,Inputs!$F$9,Inputs!$F$11))^CHOOSE(MATCH(Inputs!$B$3,{"weibull","lognormal","loglogistic"},0),Inputs!$D$7,Inputs!$D$9,Inputs!$D$11)),IF(Inputs!$B$3="loglogistic",1/(1+(B196/CHOOSE(MATCH(Inputs!$B$3,{"weibull","lognormal","loglogistic"},0),Inputs!$F$7,Inputs!$F$9,Inputs!$F$11))^CHOOSE(MATCH(Inputs!$B$3,{"weibull","lognormal","loglogistic"},0),Inputs!$D$7,Inputs!$D$9,Inputs!$D$11)),1-NORM.S.DIST((LN(B196)-CHOOSE(MATCH(Inputs!$B$3,{"weibull","lognormal","loglogistic"},0),Inputs!$D$7,Inputs!$D$9,Inputs!$D$11))/CHOOSE(MATCH(Inputs!$B$3,{"weibull","lognormal","loglogistic"},0),Inputs!$F$7,Inputs!$F$9,Inputs!$F$11),TRUE))))</f>
        <v/>
      </c>
      <c r="D196">
        <f>IF(B196=0,1,IF(Inputs!$B$3="weibull",EXP(-(B196/CHOOSE(MATCH(Inputs!$B$3,{"weibull","lognormal","loglogistic"},0),Inputs!$F$8,Inputs!$F$10,Inputs!$F$12))^CHOOSE(MATCH(Inputs!$B$3,{"weibull","lognormal","loglogistic"},0),Inputs!$D$8,Inputs!$D$10,Inputs!$D$12)),IF(Inputs!$B$3="loglogistic",1/(1+(B196/CHOOSE(MATCH(Inputs!$B$3,{"weibull","lognormal","loglogistic"},0),Inputs!$F$8,Inputs!$F$10,Inputs!$F$12))^CHOOSE(MATCH(Inputs!$B$3,{"weibull","lognormal","loglogistic"},0),Inputs!$D$8,Inputs!$D$10,Inputs!$D$12)),1-NORM.S.DIST((LN(B196)-CHOOSE(MATCH(Inputs!$B$3,{"weibull","lognormal","loglogistic"},0),Inputs!$D$8,Inputs!$D$10,Inputs!$D$12))/CHOOSE(MATCH(Inputs!$B$3,{"weibull","lognormal","loglogistic"},0),Inputs!$F$8,Inputs!$F$10,Inputs!$F$12),TRUE))))</f>
        <v/>
      </c>
      <c r="E196">
        <f>(C195+C196)/2/12</f>
        <v/>
      </c>
      <c r="F196">
        <f>(D195+D196)/2/12</f>
        <v/>
      </c>
    </row>
    <row r="197">
      <c r="A197" t="n">
        <v>195</v>
      </c>
      <c r="B197">
        <f>A197/12</f>
        <v/>
      </c>
      <c r="C197">
        <f>IF(B197=0,1,IF(Inputs!$B$3="weibull",EXP(-(B197/CHOOSE(MATCH(Inputs!$B$3,{"weibull","lognormal","loglogistic"},0),Inputs!$F$7,Inputs!$F$9,Inputs!$F$11))^CHOOSE(MATCH(Inputs!$B$3,{"weibull","lognormal","loglogistic"},0),Inputs!$D$7,Inputs!$D$9,Inputs!$D$11)),IF(Inputs!$B$3="loglogistic",1/(1+(B197/CHOOSE(MATCH(Inputs!$B$3,{"weibull","lognormal","loglogistic"},0),Inputs!$F$7,Inputs!$F$9,Inputs!$F$11))^CHOOSE(MATCH(Inputs!$B$3,{"weibull","lognormal","loglogistic"},0),Inputs!$D$7,Inputs!$D$9,Inputs!$D$11)),1-NORM.S.DIST((LN(B197)-CHOOSE(MATCH(Inputs!$B$3,{"weibull","lognormal","loglogistic"},0),Inputs!$D$7,Inputs!$D$9,Inputs!$D$11))/CHOOSE(MATCH(Inputs!$B$3,{"weibull","lognormal","loglogistic"},0),Inputs!$F$7,Inputs!$F$9,Inputs!$F$11),TRUE))))</f>
        <v/>
      </c>
      <c r="D197">
        <f>IF(B197=0,1,IF(Inputs!$B$3="weibull",EXP(-(B197/CHOOSE(MATCH(Inputs!$B$3,{"weibull","lognormal","loglogistic"},0),Inputs!$F$8,Inputs!$F$10,Inputs!$F$12))^CHOOSE(MATCH(Inputs!$B$3,{"weibull","lognormal","loglogistic"},0),Inputs!$D$8,Inputs!$D$10,Inputs!$D$12)),IF(Inputs!$B$3="loglogistic",1/(1+(B197/CHOOSE(MATCH(Inputs!$B$3,{"weibull","lognormal","loglogistic"},0),Inputs!$F$8,Inputs!$F$10,Inputs!$F$12))^CHOOSE(MATCH(Inputs!$B$3,{"weibull","lognormal","loglogistic"},0),Inputs!$D$8,Inputs!$D$10,Inputs!$D$12)),1-NORM.S.DIST((LN(B197)-CHOOSE(MATCH(Inputs!$B$3,{"weibull","lognormal","loglogistic"},0),Inputs!$D$8,Inputs!$D$10,Inputs!$D$12))/CHOOSE(MATCH(Inputs!$B$3,{"weibull","lognormal","loglogistic"},0),Inputs!$F$8,Inputs!$F$10,Inputs!$F$12),TRUE))))</f>
        <v/>
      </c>
      <c r="E197">
        <f>(C196+C197)/2/12</f>
        <v/>
      </c>
      <c r="F197">
        <f>(D196+D197)/2/12</f>
        <v/>
      </c>
    </row>
    <row r="198">
      <c r="A198" t="n">
        <v>196</v>
      </c>
      <c r="B198">
        <f>A198/12</f>
        <v/>
      </c>
      <c r="C198">
        <f>IF(B198=0,1,IF(Inputs!$B$3="weibull",EXP(-(B198/CHOOSE(MATCH(Inputs!$B$3,{"weibull","lognormal","loglogistic"},0),Inputs!$F$7,Inputs!$F$9,Inputs!$F$11))^CHOOSE(MATCH(Inputs!$B$3,{"weibull","lognormal","loglogistic"},0),Inputs!$D$7,Inputs!$D$9,Inputs!$D$11)),IF(Inputs!$B$3="loglogistic",1/(1+(B198/CHOOSE(MATCH(Inputs!$B$3,{"weibull","lognormal","loglogistic"},0),Inputs!$F$7,Inputs!$F$9,Inputs!$F$11))^CHOOSE(MATCH(Inputs!$B$3,{"weibull","lognormal","loglogistic"},0),Inputs!$D$7,Inputs!$D$9,Inputs!$D$11)),1-NORM.S.DIST((LN(B198)-CHOOSE(MATCH(Inputs!$B$3,{"weibull","lognormal","loglogistic"},0),Inputs!$D$7,Inputs!$D$9,Inputs!$D$11))/CHOOSE(MATCH(Inputs!$B$3,{"weibull","lognormal","loglogistic"},0),Inputs!$F$7,Inputs!$F$9,Inputs!$F$11),TRUE))))</f>
        <v/>
      </c>
      <c r="D198">
        <f>IF(B198=0,1,IF(Inputs!$B$3="weibull",EXP(-(B198/CHOOSE(MATCH(Inputs!$B$3,{"weibull","lognormal","loglogistic"},0),Inputs!$F$8,Inputs!$F$10,Inputs!$F$12))^CHOOSE(MATCH(Inputs!$B$3,{"weibull","lognormal","loglogistic"},0),Inputs!$D$8,Inputs!$D$10,Inputs!$D$12)),IF(Inputs!$B$3="loglogistic",1/(1+(B198/CHOOSE(MATCH(Inputs!$B$3,{"weibull","lognormal","loglogistic"},0),Inputs!$F$8,Inputs!$F$10,Inputs!$F$12))^CHOOSE(MATCH(Inputs!$B$3,{"weibull","lognormal","loglogistic"},0),Inputs!$D$8,Inputs!$D$10,Inputs!$D$12)),1-NORM.S.DIST((LN(B198)-CHOOSE(MATCH(Inputs!$B$3,{"weibull","lognormal","loglogistic"},0),Inputs!$D$8,Inputs!$D$10,Inputs!$D$12))/CHOOSE(MATCH(Inputs!$B$3,{"weibull","lognormal","loglogistic"},0),Inputs!$F$8,Inputs!$F$10,Inputs!$F$12),TRUE))))</f>
        <v/>
      </c>
      <c r="E198">
        <f>(C197+C198)/2/12</f>
        <v/>
      </c>
      <c r="F198">
        <f>(D197+D198)/2/12</f>
        <v/>
      </c>
    </row>
    <row r="199">
      <c r="A199" t="n">
        <v>197</v>
      </c>
      <c r="B199">
        <f>A199/12</f>
        <v/>
      </c>
      <c r="C199">
        <f>IF(B199=0,1,IF(Inputs!$B$3="weibull",EXP(-(B199/CHOOSE(MATCH(Inputs!$B$3,{"weibull","lognormal","loglogistic"},0),Inputs!$F$7,Inputs!$F$9,Inputs!$F$11))^CHOOSE(MATCH(Inputs!$B$3,{"weibull","lognormal","loglogistic"},0),Inputs!$D$7,Inputs!$D$9,Inputs!$D$11)),IF(Inputs!$B$3="loglogistic",1/(1+(B199/CHOOSE(MATCH(Inputs!$B$3,{"weibull","lognormal","loglogistic"},0),Inputs!$F$7,Inputs!$F$9,Inputs!$F$11))^CHOOSE(MATCH(Inputs!$B$3,{"weibull","lognormal","loglogistic"},0),Inputs!$D$7,Inputs!$D$9,Inputs!$D$11)),1-NORM.S.DIST((LN(B199)-CHOOSE(MATCH(Inputs!$B$3,{"weibull","lognormal","loglogistic"},0),Inputs!$D$7,Inputs!$D$9,Inputs!$D$11))/CHOOSE(MATCH(Inputs!$B$3,{"weibull","lognormal","loglogistic"},0),Inputs!$F$7,Inputs!$F$9,Inputs!$F$11),TRUE))))</f>
        <v/>
      </c>
      <c r="D199">
        <f>IF(B199=0,1,IF(Inputs!$B$3="weibull",EXP(-(B199/CHOOSE(MATCH(Inputs!$B$3,{"weibull","lognormal","loglogistic"},0),Inputs!$F$8,Inputs!$F$10,Inputs!$F$12))^CHOOSE(MATCH(Inputs!$B$3,{"weibull","lognormal","loglogistic"},0),Inputs!$D$8,Inputs!$D$10,Inputs!$D$12)),IF(Inputs!$B$3="loglogistic",1/(1+(B199/CHOOSE(MATCH(Inputs!$B$3,{"weibull","lognormal","loglogistic"},0),Inputs!$F$8,Inputs!$F$10,Inputs!$F$12))^CHOOSE(MATCH(Inputs!$B$3,{"weibull","lognormal","loglogistic"},0),Inputs!$D$8,Inputs!$D$10,Inputs!$D$12)),1-NORM.S.DIST((LN(B199)-CHOOSE(MATCH(Inputs!$B$3,{"weibull","lognormal","loglogistic"},0),Inputs!$D$8,Inputs!$D$10,Inputs!$D$12))/CHOOSE(MATCH(Inputs!$B$3,{"weibull","lognormal","loglogistic"},0),Inputs!$F$8,Inputs!$F$10,Inputs!$F$12),TRUE))))</f>
        <v/>
      </c>
      <c r="E199">
        <f>(C198+C199)/2/12</f>
        <v/>
      </c>
      <c r="F199">
        <f>(D198+D199)/2/12</f>
        <v/>
      </c>
    </row>
    <row r="200">
      <c r="A200" t="n">
        <v>198</v>
      </c>
      <c r="B200">
        <f>A200/12</f>
        <v/>
      </c>
      <c r="C200">
        <f>IF(B200=0,1,IF(Inputs!$B$3="weibull",EXP(-(B200/CHOOSE(MATCH(Inputs!$B$3,{"weibull","lognormal","loglogistic"},0),Inputs!$F$7,Inputs!$F$9,Inputs!$F$11))^CHOOSE(MATCH(Inputs!$B$3,{"weibull","lognormal","loglogistic"},0),Inputs!$D$7,Inputs!$D$9,Inputs!$D$11)),IF(Inputs!$B$3="loglogistic",1/(1+(B200/CHOOSE(MATCH(Inputs!$B$3,{"weibull","lognormal","loglogistic"},0),Inputs!$F$7,Inputs!$F$9,Inputs!$F$11))^CHOOSE(MATCH(Inputs!$B$3,{"weibull","lognormal","loglogistic"},0),Inputs!$D$7,Inputs!$D$9,Inputs!$D$11)),1-NORM.S.DIST((LN(B200)-CHOOSE(MATCH(Inputs!$B$3,{"weibull","lognormal","loglogistic"},0),Inputs!$D$7,Inputs!$D$9,Inputs!$D$11))/CHOOSE(MATCH(Inputs!$B$3,{"weibull","lognormal","loglogistic"},0),Inputs!$F$7,Inputs!$F$9,Inputs!$F$11),TRUE))))</f>
        <v/>
      </c>
      <c r="D200">
        <f>IF(B200=0,1,IF(Inputs!$B$3="weibull",EXP(-(B200/CHOOSE(MATCH(Inputs!$B$3,{"weibull","lognormal","loglogistic"},0),Inputs!$F$8,Inputs!$F$10,Inputs!$F$12))^CHOOSE(MATCH(Inputs!$B$3,{"weibull","lognormal","loglogistic"},0),Inputs!$D$8,Inputs!$D$10,Inputs!$D$12)),IF(Inputs!$B$3="loglogistic",1/(1+(B200/CHOOSE(MATCH(Inputs!$B$3,{"weibull","lognormal","loglogistic"},0),Inputs!$F$8,Inputs!$F$10,Inputs!$F$12))^CHOOSE(MATCH(Inputs!$B$3,{"weibull","lognormal","loglogistic"},0),Inputs!$D$8,Inputs!$D$10,Inputs!$D$12)),1-NORM.S.DIST((LN(B200)-CHOOSE(MATCH(Inputs!$B$3,{"weibull","lognormal","loglogistic"},0),Inputs!$D$8,Inputs!$D$10,Inputs!$D$12))/CHOOSE(MATCH(Inputs!$B$3,{"weibull","lognormal","loglogistic"},0),Inputs!$F$8,Inputs!$F$10,Inputs!$F$12),TRUE))))</f>
        <v/>
      </c>
      <c r="E200">
        <f>(C199+C200)/2/12</f>
        <v/>
      </c>
      <c r="F200">
        <f>(D199+D200)/2/12</f>
        <v/>
      </c>
    </row>
    <row r="201">
      <c r="A201" t="n">
        <v>199</v>
      </c>
      <c r="B201">
        <f>A201/12</f>
        <v/>
      </c>
      <c r="C201">
        <f>IF(B201=0,1,IF(Inputs!$B$3="weibull",EXP(-(B201/CHOOSE(MATCH(Inputs!$B$3,{"weibull","lognormal","loglogistic"},0),Inputs!$F$7,Inputs!$F$9,Inputs!$F$11))^CHOOSE(MATCH(Inputs!$B$3,{"weibull","lognormal","loglogistic"},0),Inputs!$D$7,Inputs!$D$9,Inputs!$D$11)),IF(Inputs!$B$3="loglogistic",1/(1+(B201/CHOOSE(MATCH(Inputs!$B$3,{"weibull","lognormal","loglogistic"},0),Inputs!$F$7,Inputs!$F$9,Inputs!$F$11))^CHOOSE(MATCH(Inputs!$B$3,{"weibull","lognormal","loglogistic"},0),Inputs!$D$7,Inputs!$D$9,Inputs!$D$11)),1-NORM.S.DIST((LN(B201)-CHOOSE(MATCH(Inputs!$B$3,{"weibull","lognormal","loglogistic"},0),Inputs!$D$7,Inputs!$D$9,Inputs!$D$11))/CHOOSE(MATCH(Inputs!$B$3,{"weibull","lognormal","loglogistic"},0),Inputs!$F$7,Inputs!$F$9,Inputs!$F$11),TRUE))))</f>
        <v/>
      </c>
      <c r="D201">
        <f>IF(B201=0,1,IF(Inputs!$B$3="weibull",EXP(-(B201/CHOOSE(MATCH(Inputs!$B$3,{"weibull","lognormal","loglogistic"},0),Inputs!$F$8,Inputs!$F$10,Inputs!$F$12))^CHOOSE(MATCH(Inputs!$B$3,{"weibull","lognormal","loglogistic"},0),Inputs!$D$8,Inputs!$D$10,Inputs!$D$12)),IF(Inputs!$B$3="loglogistic",1/(1+(B201/CHOOSE(MATCH(Inputs!$B$3,{"weibull","lognormal","loglogistic"},0),Inputs!$F$8,Inputs!$F$10,Inputs!$F$12))^CHOOSE(MATCH(Inputs!$B$3,{"weibull","lognormal","loglogistic"},0),Inputs!$D$8,Inputs!$D$10,Inputs!$D$12)),1-NORM.S.DIST((LN(B201)-CHOOSE(MATCH(Inputs!$B$3,{"weibull","lognormal","loglogistic"},0),Inputs!$D$8,Inputs!$D$10,Inputs!$D$12))/CHOOSE(MATCH(Inputs!$B$3,{"weibull","lognormal","loglogistic"},0),Inputs!$F$8,Inputs!$F$10,Inputs!$F$12),TRUE))))</f>
        <v/>
      </c>
      <c r="E201">
        <f>(C200+C201)/2/12</f>
        <v/>
      </c>
      <c r="F201">
        <f>(D200+D201)/2/12</f>
        <v/>
      </c>
    </row>
    <row r="202">
      <c r="A202" t="n">
        <v>200</v>
      </c>
      <c r="B202">
        <f>A202/12</f>
        <v/>
      </c>
      <c r="C202">
        <f>IF(B202=0,1,IF(Inputs!$B$3="weibull",EXP(-(B202/CHOOSE(MATCH(Inputs!$B$3,{"weibull","lognormal","loglogistic"},0),Inputs!$F$7,Inputs!$F$9,Inputs!$F$11))^CHOOSE(MATCH(Inputs!$B$3,{"weibull","lognormal","loglogistic"},0),Inputs!$D$7,Inputs!$D$9,Inputs!$D$11)),IF(Inputs!$B$3="loglogistic",1/(1+(B202/CHOOSE(MATCH(Inputs!$B$3,{"weibull","lognormal","loglogistic"},0),Inputs!$F$7,Inputs!$F$9,Inputs!$F$11))^CHOOSE(MATCH(Inputs!$B$3,{"weibull","lognormal","loglogistic"},0),Inputs!$D$7,Inputs!$D$9,Inputs!$D$11)),1-NORM.S.DIST((LN(B202)-CHOOSE(MATCH(Inputs!$B$3,{"weibull","lognormal","loglogistic"},0),Inputs!$D$7,Inputs!$D$9,Inputs!$D$11))/CHOOSE(MATCH(Inputs!$B$3,{"weibull","lognormal","loglogistic"},0),Inputs!$F$7,Inputs!$F$9,Inputs!$F$11),TRUE))))</f>
        <v/>
      </c>
      <c r="D202">
        <f>IF(B202=0,1,IF(Inputs!$B$3="weibull",EXP(-(B202/CHOOSE(MATCH(Inputs!$B$3,{"weibull","lognormal","loglogistic"},0),Inputs!$F$8,Inputs!$F$10,Inputs!$F$12))^CHOOSE(MATCH(Inputs!$B$3,{"weibull","lognormal","loglogistic"},0),Inputs!$D$8,Inputs!$D$10,Inputs!$D$12)),IF(Inputs!$B$3="loglogistic",1/(1+(B202/CHOOSE(MATCH(Inputs!$B$3,{"weibull","lognormal","loglogistic"},0),Inputs!$F$8,Inputs!$F$10,Inputs!$F$12))^CHOOSE(MATCH(Inputs!$B$3,{"weibull","lognormal","loglogistic"},0),Inputs!$D$8,Inputs!$D$10,Inputs!$D$12)),1-NORM.S.DIST((LN(B202)-CHOOSE(MATCH(Inputs!$B$3,{"weibull","lognormal","loglogistic"},0),Inputs!$D$8,Inputs!$D$10,Inputs!$D$12))/CHOOSE(MATCH(Inputs!$B$3,{"weibull","lognormal","loglogistic"},0),Inputs!$F$8,Inputs!$F$10,Inputs!$F$12),TRUE))))</f>
        <v/>
      </c>
      <c r="E202">
        <f>(C201+C202)/2/12</f>
        <v/>
      </c>
      <c r="F202">
        <f>(D201+D202)/2/12</f>
        <v/>
      </c>
    </row>
    <row r="203">
      <c r="A203" t="n">
        <v>201</v>
      </c>
      <c r="B203">
        <f>A203/12</f>
        <v/>
      </c>
      <c r="C203">
        <f>IF(B203=0,1,IF(Inputs!$B$3="weibull",EXP(-(B203/CHOOSE(MATCH(Inputs!$B$3,{"weibull","lognormal","loglogistic"},0),Inputs!$F$7,Inputs!$F$9,Inputs!$F$11))^CHOOSE(MATCH(Inputs!$B$3,{"weibull","lognormal","loglogistic"},0),Inputs!$D$7,Inputs!$D$9,Inputs!$D$11)),IF(Inputs!$B$3="loglogistic",1/(1+(B203/CHOOSE(MATCH(Inputs!$B$3,{"weibull","lognormal","loglogistic"},0),Inputs!$F$7,Inputs!$F$9,Inputs!$F$11))^CHOOSE(MATCH(Inputs!$B$3,{"weibull","lognormal","loglogistic"},0),Inputs!$D$7,Inputs!$D$9,Inputs!$D$11)),1-NORM.S.DIST((LN(B203)-CHOOSE(MATCH(Inputs!$B$3,{"weibull","lognormal","loglogistic"},0),Inputs!$D$7,Inputs!$D$9,Inputs!$D$11))/CHOOSE(MATCH(Inputs!$B$3,{"weibull","lognormal","loglogistic"},0),Inputs!$F$7,Inputs!$F$9,Inputs!$F$11),TRUE))))</f>
        <v/>
      </c>
      <c r="D203">
        <f>IF(B203=0,1,IF(Inputs!$B$3="weibull",EXP(-(B203/CHOOSE(MATCH(Inputs!$B$3,{"weibull","lognormal","loglogistic"},0),Inputs!$F$8,Inputs!$F$10,Inputs!$F$12))^CHOOSE(MATCH(Inputs!$B$3,{"weibull","lognormal","loglogistic"},0),Inputs!$D$8,Inputs!$D$10,Inputs!$D$12)),IF(Inputs!$B$3="loglogistic",1/(1+(B203/CHOOSE(MATCH(Inputs!$B$3,{"weibull","lognormal","loglogistic"},0),Inputs!$F$8,Inputs!$F$10,Inputs!$F$12))^CHOOSE(MATCH(Inputs!$B$3,{"weibull","lognormal","loglogistic"},0),Inputs!$D$8,Inputs!$D$10,Inputs!$D$12)),1-NORM.S.DIST((LN(B203)-CHOOSE(MATCH(Inputs!$B$3,{"weibull","lognormal","loglogistic"},0),Inputs!$D$8,Inputs!$D$10,Inputs!$D$12))/CHOOSE(MATCH(Inputs!$B$3,{"weibull","lognormal","loglogistic"},0),Inputs!$F$8,Inputs!$F$10,Inputs!$F$12),TRUE))))</f>
        <v/>
      </c>
      <c r="E203">
        <f>(C202+C203)/2/12</f>
        <v/>
      </c>
      <c r="F203">
        <f>(D202+D203)/2/12</f>
        <v/>
      </c>
    </row>
    <row r="204">
      <c r="A204" t="n">
        <v>202</v>
      </c>
      <c r="B204">
        <f>A204/12</f>
        <v/>
      </c>
      <c r="C204">
        <f>IF(B204=0,1,IF(Inputs!$B$3="weibull",EXP(-(B204/CHOOSE(MATCH(Inputs!$B$3,{"weibull","lognormal","loglogistic"},0),Inputs!$F$7,Inputs!$F$9,Inputs!$F$11))^CHOOSE(MATCH(Inputs!$B$3,{"weibull","lognormal","loglogistic"},0),Inputs!$D$7,Inputs!$D$9,Inputs!$D$11)),IF(Inputs!$B$3="loglogistic",1/(1+(B204/CHOOSE(MATCH(Inputs!$B$3,{"weibull","lognormal","loglogistic"},0),Inputs!$F$7,Inputs!$F$9,Inputs!$F$11))^CHOOSE(MATCH(Inputs!$B$3,{"weibull","lognormal","loglogistic"},0),Inputs!$D$7,Inputs!$D$9,Inputs!$D$11)),1-NORM.S.DIST((LN(B204)-CHOOSE(MATCH(Inputs!$B$3,{"weibull","lognormal","loglogistic"},0),Inputs!$D$7,Inputs!$D$9,Inputs!$D$11))/CHOOSE(MATCH(Inputs!$B$3,{"weibull","lognormal","loglogistic"},0),Inputs!$F$7,Inputs!$F$9,Inputs!$F$11),TRUE))))</f>
        <v/>
      </c>
      <c r="D204">
        <f>IF(B204=0,1,IF(Inputs!$B$3="weibull",EXP(-(B204/CHOOSE(MATCH(Inputs!$B$3,{"weibull","lognormal","loglogistic"},0),Inputs!$F$8,Inputs!$F$10,Inputs!$F$12))^CHOOSE(MATCH(Inputs!$B$3,{"weibull","lognormal","loglogistic"},0),Inputs!$D$8,Inputs!$D$10,Inputs!$D$12)),IF(Inputs!$B$3="loglogistic",1/(1+(B204/CHOOSE(MATCH(Inputs!$B$3,{"weibull","lognormal","loglogistic"},0),Inputs!$F$8,Inputs!$F$10,Inputs!$F$12))^CHOOSE(MATCH(Inputs!$B$3,{"weibull","lognormal","loglogistic"},0),Inputs!$D$8,Inputs!$D$10,Inputs!$D$12)),1-NORM.S.DIST((LN(B204)-CHOOSE(MATCH(Inputs!$B$3,{"weibull","lognormal","loglogistic"},0),Inputs!$D$8,Inputs!$D$10,Inputs!$D$12))/CHOOSE(MATCH(Inputs!$B$3,{"weibull","lognormal","loglogistic"},0),Inputs!$F$8,Inputs!$F$10,Inputs!$F$12),TRUE))))</f>
        <v/>
      </c>
      <c r="E204">
        <f>(C203+C204)/2/12</f>
        <v/>
      </c>
      <c r="F204">
        <f>(D203+D204)/2/12</f>
        <v/>
      </c>
    </row>
    <row r="205">
      <c r="A205" t="n">
        <v>203</v>
      </c>
      <c r="B205">
        <f>A205/12</f>
        <v/>
      </c>
      <c r="C205">
        <f>IF(B205=0,1,IF(Inputs!$B$3="weibull",EXP(-(B205/CHOOSE(MATCH(Inputs!$B$3,{"weibull","lognormal","loglogistic"},0),Inputs!$F$7,Inputs!$F$9,Inputs!$F$11))^CHOOSE(MATCH(Inputs!$B$3,{"weibull","lognormal","loglogistic"},0),Inputs!$D$7,Inputs!$D$9,Inputs!$D$11)),IF(Inputs!$B$3="loglogistic",1/(1+(B205/CHOOSE(MATCH(Inputs!$B$3,{"weibull","lognormal","loglogistic"},0),Inputs!$F$7,Inputs!$F$9,Inputs!$F$11))^CHOOSE(MATCH(Inputs!$B$3,{"weibull","lognormal","loglogistic"},0),Inputs!$D$7,Inputs!$D$9,Inputs!$D$11)),1-NORM.S.DIST((LN(B205)-CHOOSE(MATCH(Inputs!$B$3,{"weibull","lognormal","loglogistic"},0),Inputs!$D$7,Inputs!$D$9,Inputs!$D$11))/CHOOSE(MATCH(Inputs!$B$3,{"weibull","lognormal","loglogistic"},0),Inputs!$F$7,Inputs!$F$9,Inputs!$F$11),TRUE))))</f>
        <v/>
      </c>
      <c r="D205">
        <f>IF(B205=0,1,IF(Inputs!$B$3="weibull",EXP(-(B205/CHOOSE(MATCH(Inputs!$B$3,{"weibull","lognormal","loglogistic"},0),Inputs!$F$8,Inputs!$F$10,Inputs!$F$12))^CHOOSE(MATCH(Inputs!$B$3,{"weibull","lognormal","loglogistic"},0),Inputs!$D$8,Inputs!$D$10,Inputs!$D$12)),IF(Inputs!$B$3="loglogistic",1/(1+(B205/CHOOSE(MATCH(Inputs!$B$3,{"weibull","lognormal","loglogistic"},0),Inputs!$F$8,Inputs!$F$10,Inputs!$F$12))^CHOOSE(MATCH(Inputs!$B$3,{"weibull","lognormal","loglogistic"},0),Inputs!$D$8,Inputs!$D$10,Inputs!$D$12)),1-NORM.S.DIST((LN(B205)-CHOOSE(MATCH(Inputs!$B$3,{"weibull","lognormal","loglogistic"},0),Inputs!$D$8,Inputs!$D$10,Inputs!$D$12))/CHOOSE(MATCH(Inputs!$B$3,{"weibull","lognormal","loglogistic"},0),Inputs!$F$8,Inputs!$F$10,Inputs!$F$12),TRUE))))</f>
        <v/>
      </c>
      <c r="E205">
        <f>(C204+C205)/2/12</f>
        <v/>
      </c>
      <c r="F205">
        <f>(D204+D205)/2/12</f>
        <v/>
      </c>
    </row>
    <row r="206">
      <c r="A206" t="n">
        <v>204</v>
      </c>
      <c r="B206">
        <f>A206/12</f>
        <v/>
      </c>
      <c r="C206">
        <f>IF(B206=0,1,IF(Inputs!$B$3="weibull",EXP(-(B206/CHOOSE(MATCH(Inputs!$B$3,{"weibull","lognormal","loglogistic"},0),Inputs!$F$7,Inputs!$F$9,Inputs!$F$11))^CHOOSE(MATCH(Inputs!$B$3,{"weibull","lognormal","loglogistic"},0),Inputs!$D$7,Inputs!$D$9,Inputs!$D$11)),IF(Inputs!$B$3="loglogistic",1/(1+(B206/CHOOSE(MATCH(Inputs!$B$3,{"weibull","lognormal","loglogistic"},0),Inputs!$F$7,Inputs!$F$9,Inputs!$F$11))^CHOOSE(MATCH(Inputs!$B$3,{"weibull","lognormal","loglogistic"},0),Inputs!$D$7,Inputs!$D$9,Inputs!$D$11)),1-NORM.S.DIST((LN(B206)-CHOOSE(MATCH(Inputs!$B$3,{"weibull","lognormal","loglogistic"},0),Inputs!$D$7,Inputs!$D$9,Inputs!$D$11))/CHOOSE(MATCH(Inputs!$B$3,{"weibull","lognormal","loglogistic"},0),Inputs!$F$7,Inputs!$F$9,Inputs!$F$11),TRUE))))</f>
        <v/>
      </c>
      <c r="D206">
        <f>IF(B206=0,1,IF(Inputs!$B$3="weibull",EXP(-(B206/CHOOSE(MATCH(Inputs!$B$3,{"weibull","lognormal","loglogistic"},0),Inputs!$F$8,Inputs!$F$10,Inputs!$F$12))^CHOOSE(MATCH(Inputs!$B$3,{"weibull","lognormal","loglogistic"},0),Inputs!$D$8,Inputs!$D$10,Inputs!$D$12)),IF(Inputs!$B$3="loglogistic",1/(1+(B206/CHOOSE(MATCH(Inputs!$B$3,{"weibull","lognormal","loglogistic"},0),Inputs!$F$8,Inputs!$F$10,Inputs!$F$12))^CHOOSE(MATCH(Inputs!$B$3,{"weibull","lognormal","loglogistic"},0),Inputs!$D$8,Inputs!$D$10,Inputs!$D$12)),1-NORM.S.DIST((LN(B206)-CHOOSE(MATCH(Inputs!$B$3,{"weibull","lognormal","loglogistic"},0),Inputs!$D$8,Inputs!$D$10,Inputs!$D$12))/CHOOSE(MATCH(Inputs!$B$3,{"weibull","lognormal","loglogistic"},0),Inputs!$F$8,Inputs!$F$10,Inputs!$F$12),TRUE))))</f>
        <v/>
      </c>
      <c r="E206">
        <f>(C205+C206)/2/12</f>
        <v/>
      </c>
      <c r="F206">
        <f>(D205+D206)/2/12</f>
        <v/>
      </c>
    </row>
    <row r="207">
      <c r="A207" t="n">
        <v>205</v>
      </c>
      <c r="B207">
        <f>A207/12</f>
        <v/>
      </c>
      <c r="C207">
        <f>IF(B207=0,1,IF(Inputs!$B$3="weibull",EXP(-(B207/CHOOSE(MATCH(Inputs!$B$3,{"weibull","lognormal","loglogistic"},0),Inputs!$F$7,Inputs!$F$9,Inputs!$F$11))^CHOOSE(MATCH(Inputs!$B$3,{"weibull","lognormal","loglogistic"},0),Inputs!$D$7,Inputs!$D$9,Inputs!$D$11)),IF(Inputs!$B$3="loglogistic",1/(1+(B207/CHOOSE(MATCH(Inputs!$B$3,{"weibull","lognormal","loglogistic"},0),Inputs!$F$7,Inputs!$F$9,Inputs!$F$11))^CHOOSE(MATCH(Inputs!$B$3,{"weibull","lognormal","loglogistic"},0),Inputs!$D$7,Inputs!$D$9,Inputs!$D$11)),1-NORM.S.DIST((LN(B207)-CHOOSE(MATCH(Inputs!$B$3,{"weibull","lognormal","loglogistic"},0),Inputs!$D$7,Inputs!$D$9,Inputs!$D$11))/CHOOSE(MATCH(Inputs!$B$3,{"weibull","lognormal","loglogistic"},0),Inputs!$F$7,Inputs!$F$9,Inputs!$F$11),TRUE))))</f>
        <v/>
      </c>
      <c r="D207">
        <f>IF(B207=0,1,IF(Inputs!$B$3="weibull",EXP(-(B207/CHOOSE(MATCH(Inputs!$B$3,{"weibull","lognormal","loglogistic"},0),Inputs!$F$8,Inputs!$F$10,Inputs!$F$12))^CHOOSE(MATCH(Inputs!$B$3,{"weibull","lognormal","loglogistic"},0),Inputs!$D$8,Inputs!$D$10,Inputs!$D$12)),IF(Inputs!$B$3="loglogistic",1/(1+(B207/CHOOSE(MATCH(Inputs!$B$3,{"weibull","lognormal","loglogistic"},0),Inputs!$F$8,Inputs!$F$10,Inputs!$F$12))^CHOOSE(MATCH(Inputs!$B$3,{"weibull","lognormal","loglogistic"},0),Inputs!$D$8,Inputs!$D$10,Inputs!$D$12)),1-NORM.S.DIST((LN(B207)-CHOOSE(MATCH(Inputs!$B$3,{"weibull","lognormal","loglogistic"},0),Inputs!$D$8,Inputs!$D$10,Inputs!$D$12))/CHOOSE(MATCH(Inputs!$B$3,{"weibull","lognormal","loglogistic"},0),Inputs!$F$8,Inputs!$F$10,Inputs!$F$12),TRUE))))</f>
        <v/>
      </c>
      <c r="E207">
        <f>(C206+C207)/2/12</f>
        <v/>
      </c>
      <c r="F207">
        <f>(D206+D207)/2/12</f>
        <v/>
      </c>
    </row>
    <row r="208">
      <c r="A208" t="n">
        <v>206</v>
      </c>
      <c r="B208">
        <f>A208/12</f>
        <v/>
      </c>
      <c r="C208">
        <f>IF(B208=0,1,IF(Inputs!$B$3="weibull",EXP(-(B208/CHOOSE(MATCH(Inputs!$B$3,{"weibull","lognormal","loglogistic"},0),Inputs!$F$7,Inputs!$F$9,Inputs!$F$11))^CHOOSE(MATCH(Inputs!$B$3,{"weibull","lognormal","loglogistic"},0),Inputs!$D$7,Inputs!$D$9,Inputs!$D$11)),IF(Inputs!$B$3="loglogistic",1/(1+(B208/CHOOSE(MATCH(Inputs!$B$3,{"weibull","lognormal","loglogistic"},0),Inputs!$F$7,Inputs!$F$9,Inputs!$F$11))^CHOOSE(MATCH(Inputs!$B$3,{"weibull","lognormal","loglogistic"},0),Inputs!$D$7,Inputs!$D$9,Inputs!$D$11)),1-NORM.S.DIST((LN(B208)-CHOOSE(MATCH(Inputs!$B$3,{"weibull","lognormal","loglogistic"},0),Inputs!$D$7,Inputs!$D$9,Inputs!$D$11))/CHOOSE(MATCH(Inputs!$B$3,{"weibull","lognormal","loglogistic"},0),Inputs!$F$7,Inputs!$F$9,Inputs!$F$11),TRUE))))</f>
        <v/>
      </c>
      <c r="D208">
        <f>IF(B208=0,1,IF(Inputs!$B$3="weibull",EXP(-(B208/CHOOSE(MATCH(Inputs!$B$3,{"weibull","lognormal","loglogistic"},0),Inputs!$F$8,Inputs!$F$10,Inputs!$F$12))^CHOOSE(MATCH(Inputs!$B$3,{"weibull","lognormal","loglogistic"},0),Inputs!$D$8,Inputs!$D$10,Inputs!$D$12)),IF(Inputs!$B$3="loglogistic",1/(1+(B208/CHOOSE(MATCH(Inputs!$B$3,{"weibull","lognormal","loglogistic"},0),Inputs!$F$8,Inputs!$F$10,Inputs!$F$12))^CHOOSE(MATCH(Inputs!$B$3,{"weibull","lognormal","loglogistic"},0),Inputs!$D$8,Inputs!$D$10,Inputs!$D$12)),1-NORM.S.DIST((LN(B208)-CHOOSE(MATCH(Inputs!$B$3,{"weibull","lognormal","loglogistic"},0),Inputs!$D$8,Inputs!$D$10,Inputs!$D$12))/CHOOSE(MATCH(Inputs!$B$3,{"weibull","lognormal","loglogistic"},0),Inputs!$F$8,Inputs!$F$10,Inputs!$F$12),TRUE))))</f>
        <v/>
      </c>
      <c r="E208">
        <f>(C207+C208)/2/12</f>
        <v/>
      </c>
      <c r="F208">
        <f>(D207+D208)/2/12</f>
        <v/>
      </c>
    </row>
    <row r="209">
      <c r="A209" t="n">
        <v>207</v>
      </c>
      <c r="B209">
        <f>A209/12</f>
        <v/>
      </c>
      <c r="C209">
        <f>IF(B209=0,1,IF(Inputs!$B$3="weibull",EXP(-(B209/CHOOSE(MATCH(Inputs!$B$3,{"weibull","lognormal","loglogistic"},0),Inputs!$F$7,Inputs!$F$9,Inputs!$F$11))^CHOOSE(MATCH(Inputs!$B$3,{"weibull","lognormal","loglogistic"},0),Inputs!$D$7,Inputs!$D$9,Inputs!$D$11)),IF(Inputs!$B$3="loglogistic",1/(1+(B209/CHOOSE(MATCH(Inputs!$B$3,{"weibull","lognormal","loglogistic"},0),Inputs!$F$7,Inputs!$F$9,Inputs!$F$11))^CHOOSE(MATCH(Inputs!$B$3,{"weibull","lognormal","loglogistic"},0),Inputs!$D$7,Inputs!$D$9,Inputs!$D$11)),1-NORM.S.DIST((LN(B209)-CHOOSE(MATCH(Inputs!$B$3,{"weibull","lognormal","loglogistic"},0),Inputs!$D$7,Inputs!$D$9,Inputs!$D$11))/CHOOSE(MATCH(Inputs!$B$3,{"weibull","lognormal","loglogistic"},0),Inputs!$F$7,Inputs!$F$9,Inputs!$F$11),TRUE))))</f>
        <v/>
      </c>
      <c r="D209">
        <f>IF(B209=0,1,IF(Inputs!$B$3="weibull",EXP(-(B209/CHOOSE(MATCH(Inputs!$B$3,{"weibull","lognormal","loglogistic"},0),Inputs!$F$8,Inputs!$F$10,Inputs!$F$12))^CHOOSE(MATCH(Inputs!$B$3,{"weibull","lognormal","loglogistic"},0),Inputs!$D$8,Inputs!$D$10,Inputs!$D$12)),IF(Inputs!$B$3="loglogistic",1/(1+(B209/CHOOSE(MATCH(Inputs!$B$3,{"weibull","lognormal","loglogistic"},0),Inputs!$F$8,Inputs!$F$10,Inputs!$F$12))^CHOOSE(MATCH(Inputs!$B$3,{"weibull","lognormal","loglogistic"},0),Inputs!$D$8,Inputs!$D$10,Inputs!$D$12)),1-NORM.S.DIST((LN(B209)-CHOOSE(MATCH(Inputs!$B$3,{"weibull","lognormal","loglogistic"},0),Inputs!$D$8,Inputs!$D$10,Inputs!$D$12))/CHOOSE(MATCH(Inputs!$B$3,{"weibull","lognormal","loglogistic"},0),Inputs!$F$8,Inputs!$F$10,Inputs!$F$12),TRUE))))</f>
        <v/>
      </c>
      <c r="E209">
        <f>(C208+C209)/2/12</f>
        <v/>
      </c>
      <c r="F209">
        <f>(D208+D209)/2/12</f>
        <v/>
      </c>
    </row>
    <row r="210">
      <c r="A210" t="n">
        <v>208</v>
      </c>
      <c r="B210">
        <f>A210/12</f>
        <v/>
      </c>
      <c r="C210">
        <f>IF(B210=0,1,IF(Inputs!$B$3="weibull",EXP(-(B210/CHOOSE(MATCH(Inputs!$B$3,{"weibull","lognormal","loglogistic"},0),Inputs!$F$7,Inputs!$F$9,Inputs!$F$11))^CHOOSE(MATCH(Inputs!$B$3,{"weibull","lognormal","loglogistic"},0),Inputs!$D$7,Inputs!$D$9,Inputs!$D$11)),IF(Inputs!$B$3="loglogistic",1/(1+(B210/CHOOSE(MATCH(Inputs!$B$3,{"weibull","lognormal","loglogistic"},0),Inputs!$F$7,Inputs!$F$9,Inputs!$F$11))^CHOOSE(MATCH(Inputs!$B$3,{"weibull","lognormal","loglogistic"},0),Inputs!$D$7,Inputs!$D$9,Inputs!$D$11)),1-NORM.S.DIST((LN(B210)-CHOOSE(MATCH(Inputs!$B$3,{"weibull","lognormal","loglogistic"},0),Inputs!$D$7,Inputs!$D$9,Inputs!$D$11))/CHOOSE(MATCH(Inputs!$B$3,{"weibull","lognormal","loglogistic"},0),Inputs!$F$7,Inputs!$F$9,Inputs!$F$11),TRUE))))</f>
        <v/>
      </c>
      <c r="D210">
        <f>IF(B210=0,1,IF(Inputs!$B$3="weibull",EXP(-(B210/CHOOSE(MATCH(Inputs!$B$3,{"weibull","lognormal","loglogistic"},0),Inputs!$F$8,Inputs!$F$10,Inputs!$F$12))^CHOOSE(MATCH(Inputs!$B$3,{"weibull","lognormal","loglogistic"},0),Inputs!$D$8,Inputs!$D$10,Inputs!$D$12)),IF(Inputs!$B$3="loglogistic",1/(1+(B210/CHOOSE(MATCH(Inputs!$B$3,{"weibull","lognormal","loglogistic"},0),Inputs!$F$8,Inputs!$F$10,Inputs!$F$12))^CHOOSE(MATCH(Inputs!$B$3,{"weibull","lognormal","loglogistic"},0),Inputs!$D$8,Inputs!$D$10,Inputs!$D$12)),1-NORM.S.DIST((LN(B210)-CHOOSE(MATCH(Inputs!$B$3,{"weibull","lognormal","loglogistic"},0),Inputs!$D$8,Inputs!$D$10,Inputs!$D$12))/CHOOSE(MATCH(Inputs!$B$3,{"weibull","lognormal","loglogistic"},0),Inputs!$F$8,Inputs!$F$10,Inputs!$F$12),TRUE))))</f>
        <v/>
      </c>
      <c r="E210">
        <f>(C209+C210)/2/12</f>
        <v/>
      </c>
      <c r="F210">
        <f>(D209+D210)/2/12</f>
        <v/>
      </c>
    </row>
    <row r="211">
      <c r="A211" t="n">
        <v>209</v>
      </c>
      <c r="B211">
        <f>A211/12</f>
        <v/>
      </c>
      <c r="C211">
        <f>IF(B211=0,1,IF(Inputs!$B$3="weibull",EXP(-(B211/CHOOSE(MATCH(Inputs!$B$3,{"weibull","lognormal","loglogistic"},0),Inputs!$F$7,Inputs!$F$9,Inputs!$F$11))^CHOOSE(MATCH(Inputs!$B$3,{"weibull","lognormal","loglogistic"},0),Inputs!$D$7,Inputs!$D$9,Inputs!$D$11)),IF(Inputs!$B$3="loglogistic",1/(1+(B211/CHOOSE(MATCH(Inputs!$B$3,{"weibull","lognormal","loglogistic"},0),Inputs!$F$7,Inputs!$F$9,Inputs!$F$11))^CHOOSE(MATCH(Inputs!$B$3,{"weibull","lognormal","loglogistic"},0),Inputs!$D$7,Inputs!$D$9,Inputs!$D$11)),1-NORM.S.DIST((LN(B211)-CHOOSE(MATCH(Inputs!$B$3,{"weibull","lognormal","loglogistic"},0),Inputs!$D$7,Inputs!$D$9,Inputs!$D$11))/CHOOSE(MATCH(Inputs!$B$3,{"weibull","lognormal","loglogistic"},0),Inputs!$F$7,Inputs!$F$9,Inputs!$F$11),TRUE))))</f>
        <v/>
      </c>
      <c r="D211">
        <f>IF(B211=0,1,IF(Inputs!$B$3="weibull",EXP(-(B211/CHOOSE(MATCH(Inputs!$B$3,{"weibull","lognormal","loglogistic"},0),Inputs!$F$8,Inputs!$F$10,Inputs!$F$12))^CHOOSE(MATCH(Inputs!$B$3,{"weibull","lognormal","loglogistic"},0),Inputs!$D$8,Inputs!$D$10,Inputs!$D$12)),IF(Inputs!$B$3="loglogistic",1/(1+(B211/CHOOSE(MATCH(Inputs!$B$3,{"weibull","lognormal","loglogistic"},0),Inputs!$F$8,Inputs!$F$10,Inputs!$F$12))^CHOOSE(MATCH(Inputs!$B$3,{"weibull","lognormal","loglogistic"},0),Inputs!$D$8,Inputs!$D$10,Inputs!$D$12)),1-NORM.S.DIST((LN(B211)-CHOOSE(MATCH(Inputs!$B$3,{"weibull","lognormal","loglogistic"},0),Inputs!$D$8,Inputs!$D$10,Inputs!$D$12))/CHOOSE(MATCH(Inputs!$B$3,{"weibull","lognormal","loglogistic"},0),Inputs!$F$8,Inputs!$F$10,Inputs!$F$12),TRUE))))</f>
        <v/>
      </c>
      <c r="E211">
        <f>(C210+C211)/2/12</f>
        <v/>
      </c>
      <c r="F211">
        <f>(D210+D211)/2/12</f>
        <v/>
      </c>
    </row>
    <row r="212">
      <c r="A212" t="n">
        <v>210</v>
      </c>
      <c r="B212">
        <f>A212/12</f>
        <v/>
      </c>
      <c r="C212">
        <f>IF(B212=0,1,IF(Inputs!$B$3="weibull",EXP(-(B212/CHOOSE(MATCH(Inputs!$B$3,{"weibull","lognormal","loglogistic"},0),Inputs!$F$7,Inputs!$F$9,Inputs!$F$11))^CHOOSE(MATCH(Inputs!$B$3,{"weibull","lognormal","loglogistic"},0),Inputs!$D$7,Inputs!$D$9,Inputs!$D$11)),IF(Inputs!$B$3="loglogistic",1/(1+(B212/CHOOSE(MATCH(Inputs!$B$3,{"weibull","lognormal","loglogistic"},0),Inputs!$F$7,Inputs!$F$9,Inputs!$F$11))^CHOOSE(MATCH(Inputs!$B$3,{"weibull","lognormal","loglogistic"},0),Inputs!$D$7,Inputs!$D$9,Inputs!$D$11)),1-NORM.S.DIST((LN(B212)-CHOOSE(MATCH(Inputs!$B$3,{"weibull","lognormal","loglogistic"},0),Inputs!$D$7,Inputs!$D$9,Inputs!$D$11))/CHOOSE(MATCH(Inputs!$B$3,{"weibull","lognormal","loglogistic"},0),Inputs!$F$7,Inputs!$F$9,Inputs!$F$11),TRUE))))</f>
        <v/>
      </c>
      <c r="D212">
        <f>IF(B212=0,1,IF(Inputs!$B$3="weibull",EXP(-(B212/CHOOSE(MATCH(Inputs!$B$3,{"weibull","lognormal","loglogistic"},0),Inputs!$F$8,Inputs!$F$10,Inputs!$F$12))^CHOOSE(MATCH(Inputs!$B$3,{"weibull","lognormal","loglogistic"},0),Inputs!$D$8,Inputs!$D$10,Inputs!$D$12)),IF(Inputs!$B$3="loglogistic",1/(1+(B212/CHOOSE(MATCH(Inputs!$B$3,{"weibull","lognormal","loglogistic"},0),Inputs!$F$8,Inputs!$F$10,Inputs!$F$12))^CHOOSE(MATCH(Inputs!$B$3,{"weibull","lognormal","loglogistic"},0),Inputs!$D$8,Inputs!$D$10,Inputs!$D$12)),1-NORM.S.DIST((LN(B212)-CHOOSE(MATCH(Inputs!$B$3,{"weibull","lognormal","loglogistic"},0),Inputs!$D$8,Inputs!$D$10,Inputs!$D$12))/CHOOSE(MATCH(Inputs!$B$3,{"weibull","lognormal","loglogistic"},0),Inputs!$F$8,Inputs!$F$10,Inputs!$F$12),TRUE))))</f>
        <v/>
      </c>
      <c r="E212">
        <f>(C211+C212)/2/12</f>
        <v/>
      </c>
      <c r="F212">
        <f>(D211+D212)/2/12</f>
        <v/>
      </c>
    </row>
    <row r="213">
      <c r="A213" t="n">
        <v>211</v>
      </c>
      <c r="B213">
        <f>A213/12</f>
        <v/>
      </c>
      <c r="C213">
        <f>IF(B213=0,1,IF(Inputs!$B$3="weibull",EXP(-(B213/CHOOSE(MATCH(Inputs!$B$3,{"weibull","lognormal","loglogistic"},0),Inputs!$F$7,Inputs!$F$9,Inputs!$F$11))^CHOOSE(MATCH(Inputs!$B$3,{"weibull","lognormal","loglogistic"},0),Inputs!$D$7,Inputs!$D$9,Inputs!$D$11)),IF(Inputs!$B$3="loglogistic",1/(1+(B213/CHOOSE(MATCH(Inputs!$B$3,{"weibull","lognormal","loglogistic"},0),Inputs!$F$7,Inputs!$F$9,Inputs!$F$11))^CHOOSE(MATCH(Inputs!$B$3,{"weibull","lognormal","loglogistic"},0),Inputs!$D$7,Inputs!$D$9,Inputs!$D$11)),1-NORM.S.DIST((LN(B213)-CHOOSE(MATCH(Inputs!$B$3,{"weibull","lognormal","loglogistic"},0),Inputs!$D$7,Inputs!$D$9,Inputs!$D$11))/CHOOSE(MATCH(Inputs!$B$3,{"weibull","lognormal","loglogistic"},0),Inputs!$F$7,Inputs!$F$9,Inputs!$F$11),TRUE))))</f>
        <v/>
      </c>
      <c r="D213">
        <f>IF(B213=0,1,IF(Inputs!$B$3="weibull",EXP(-(B213/CHOOSE(MATCH(Inputs!$B$3,{"weibull","lognormal","loglogistic"},0),Inputs!$F$8,Inputs!$F$10,Inputs!$F$12))^CHOOSE(MATCH(Inputs!$B$3,{"weibull","lognormal","loglogistic"},0),Inputs!$D$8,Inputs!$D$10,Inputs!$D$12)),IF(Inputs!$B$3="loglogistic",1/(1+(B213/CHOOSE(MATCH(Inputs!$B$3,{"weibull","lognormal","loglogistic"},0),Inputs!$F$8,Inputs!$F$10,Inputs!$F$12))^CHOOSE(MATCH(Inputs!$B$3,{"weibull","lognormal","loglogistic"},0),Inputs!$D$8,Inputs!$D$10,Inputs!$D$12)),1-NORM.S.DIST((LN(B213)-CHOOSE(MATCH(Inputs!$B$3,{"weibull","lognormal","loglogistic"},0),Inputs!$D$8,Inputs!$D$10,Inputs!$D$12))/CHOOSE(MATCH(Inputs!$B$3,{"weibull","lognormal","loglogistic"},0),Inputs!$F$8,Inputs!$F$10,Inputs!$F$12),TRUE))))</f>
        <v/>
      </c>
      <c r="E213">
        <f>(C212+C213)/2/12</f>
        <v/>
      </c>
      <c r="F213">
        <f>(D212+D213)/2/12</f>
        <v/>
      </c>
    </row>
    <row r="214">
      <c r="A214" t="n">
        <v>212</v>
      </c>
      <c r="B214">
        <f>A214/12</f>
        <v/>
      </c>
      <c r="C214">
        <f>IF(B214=0,1,IF(Inputs!$B$3="weibull",EXP(-(B214/CHOOSE(MATCH(Inputs!$B$3,{"weibull","lognormal","loglogistic"},0),Inputs!$F$7,Inputs!$F$9,Inputs!$F$11))^CHOOSE(MATCH(Inputs!$B$3,{"weibull","lognormal","loglogistic"},0),Inputs!$D$7,Inputs!$D$9,Inputs!$D$11)),IF(Inputs!$B$3="loglogistic",1/(1+(B214/CHOOSE(MATCH(Inputs!$B$3,{"weibull","lognormal","loglogistic"},0),Inputs!$F$7,Inputs!$F$9,Inputs!$F$11))^CHOOSE(MATCH(Inputs!$B$3,{"weibull","lognormal","loglogistic"},0),Inputs!$D$7,Inputs!$D$9,Inputs!$D$11)),1-NORM.S.DIST((LN(B214)-CHOOSE(MATCH(Inputs!$B$3,{"weibull","lognormal","loglogistic"},0),Inputs!$D$7,Inputs!$D$9,Inputs!$D$11))/CHOOSE(MATCH(Inputs!$B$3,{"weibull","lognormal","loglogistic"},0),Inputs!$F$7,Inputs!$F$9,Inputs!$F$11),TRUE))))</f>
        <v/>
      </c>
      <c r="D214">
        <f>IF(B214=0,1,IF(Inputs!$B$3="weibull",EXP(-(B214/CHOOSE(MATCH(Inputs!$B$3,{"weibull","lognormal","loglogistic"},0),Inputs!$F$8,Inputs!$F$10,Inputs!$F$12))^CHOOSE(MATCH(Inputs!$B$3,{"weibull","lognormal","loglogistic"},0),Inputs!$D$8,Inputs!$D$10,Inputs!$D$12)),IF(Inputs!$B$3="loglogistic",1/(1+(B214/CHOOSE(MATCH(Inputs!$B$3,{"weibull","lognormal","loglogistic"},0),Inputs!$F$8,Inputs!$F$10,Inputs!$F$12))^CHOOSE(MATCH(Inputs!$B$3,{"weibull","lognormal","loglogistic"},0),Inputs!$D$8,Inputs!$D$10,Inputs!$D$12)),1-NORM.S.DIST((LN(B214)-CHOOSE(MATCH(Inputs!$B$3,{"weibull","lognormal","loglogistic"},0),Inputs!$D$8,Inputs!$D$10,Inputs!$D$12))/CHOOSE(MATCH(Inputs!$B$3,{"weibull","lognormal","loglogistic"},0),Inputs!$F$8,Inputs!$F$10,Inputs!$F$12),TRUE))))</f>
        <v/>
      </c>
      <c r="E214">
        <f>(C213+C214)/2/12</f>
        <v/>
      </c>
      <c r="F214">
        <f>(D213+D214)/2/12</f>
        <v/>
      </c>
    </row>
    <row r="215">
      <c r="A215" t="n">
        <v>213</v>
      </c>
      <c r="B215">
        <f>A215/12</f>
        <v/>
      </c>
      <c r="C215">
        <f>IF(B215=0,1,IF(Inputs!$B$3="weibull",EXP(-(B215/CHOOSE(MATCH(Inputs!$B$3,{"weibull","lognormal","loglogistic"},0),Inputs!$F$7,Inputs!$F$9,Inputs!$F$11))^CHOOSE(MATCH(Inputs!$B$3,{"weibull","lognormal","loglogistic"},0),Inputs!$D$7,Inputs!$D$9,Inputs!$D$11)),IF(Inputs!$B$3="loglogistic",1/(1+(B215/CHOOSE(MATCH(Inputs!$B$3,{"weibull","lognormal","loglogistic"},0),Inputs!$F$7,Inputs!$F$9,Inputs!$F$11))^CHOOSE(MATCH(Inputs!$B$3,{"weibull","lognormal","loglogistic"},0),Inputs!$D$7,Inputs!$D$9,Inputs!$D$11)),1-NORM.S.DIST((LN(B215)-CHOOSE(MATCH(Inputs!$B$3,{"weibull","lognormal","loglogistic"},0),Inputs!$D$7,Inputs!$D$9,Inputs!$D$11))/CHOOSE(MATCH(Inputs!$B$3,{"weibull","lognormal","loglogistic"},0),Inputs!$F$7,Inputs!$F$9,Inputs!$F$11),TRUE))))</f>
        <v/>
      </c>
      <c r="D215">
        <f>IF(B215=0,1,IF(Inputs!$B$3="weibull",EXP(-(B215/CHOOSE(MATCH(Inputs!$B$3,{"weibull","lognormal","loglogistic"},0),Inputs!$F$8,Inputs!$F$10,Inputs!$F$12))^CHOOSE(MATCH(Inputs!$B$3,{"weibull","lognormal","loglogistic"},0),Inputs!$D$8,Inputs!$D$10,Inputs!$D$12)),IF(Inputs!$B$3="loglogistic",1/(1+(B215/CHOOSE(MATCH(Inputs!$B$3,{"weibull","lognormal","loglogistic"},0),Inputs!$F$8,Inputs!$F$10,Inputs!$F$12))^CHOOSE(MATCH(Inputs!$B$3,{"weibull","lognormal","loglogistic"},0),Inputs!$D$8,Inputs!$D$10,Inputs!$D$12)),1-NORM.S.DIST((LN(B215)-CHOOSE(MATCH(Inputs!$B$3,{"weibull","lognormal","loglogistic"},0),Inputs!$D$8,Inputs!$D$10,Inputs!$D$12))/CHOOSE(MATCH(Inputs!$B$3,{"weibull","lognormal","loglogistic"},0),Inputs!$F$8,Inputs!$F$10,Inputs!$F$12),TRUE))))</f>
        <v/>
      </c>
      <c r="E215">
        <f>(C214+C215)/2/12</f>
        <v/>
      </c>
      <c r="F215">
        <f>(D214+D215)/2/12</f>
        <v/>
      </c>
    </row>
    <row r="216">
      <c r="A216" t="n">
        <v>214</v>
      </c>
      <c r="B216">
        <f>A216/12</f>
        <v/>
      </c>
      <c r="C216">
        <f>IF(B216=0,1,IF(Inputs!$B$3="weibull",EXP(-(B216/CHOOSE(MATCH(Inputs!$B$3,{"weibull","lognormal","loglogistic"},0),Inputs!$F$7,Inputs!$F$9,Inputs!$F$11))^CHOOSE(MATCH(Inputs!$B$3,{"weibull","lognormal","loglogistic"},0),Inputs!$D$7,Inputs!$D$9,Inputs!$D$11)),IF(Inputs!$B$3="loglogistic",1/(1+(B216/CHOOSE(MATCH(Inputs!$B$3,{"weibull","lognormal","loglogistic"},0),Inputs!$F$7,Inputs!$F$9,Inputs!$F$11))^CHOOSE(MATCH(Inputs!$B$3,{"weibull","lognormal","loglogistic"},0),Inputs!$D$7,Inputs!$D$9,Inputs!$D$11)),1-NORM.S.DIST((LN(B216)-CHOOSE(MATCH(Inputs!$B$3,{"weibull","lognormal","loglogistic"},0),Inputs!$D$7,Inputs!$D$9,Inputs!$D$11))/CHOOSE(MATCH(Inputs!$B$3,{"weibull","lognormal","loglogistic"},0),Inputs!$F$7,Inputs!$F$9,Inputs!$F$11),TRUE))))</f>
        <v/>
      </c>
      <c r="D216">
        <f>IF(B216=0,1,IF(Inputs!$B$3="weibull",EXP(-(B216/CHOOSE(MATCH(Inputs!$B$3,{"weibull","lognormal","loglogistic"},0),Inputs!$F$8,Inputs!$F$10,Inputs!$F$12))^CHOOSE(MATCH(Inputs!$B$3,{"weibull","lognormal","loglogistic"},0),Inputs!$D$8,Inputs!$D$10,Inputs!$D$12)),IF(Inputs!$B$3="loglogistic",1/(1+(B216/CHOOSE(MATCH(Inputs!$B$3,{"weibull","lognormal","loglogistic"},0),Inputs!$F$8,Inputs!$F$10,Inputs!$F$12))^CHOOSE(MATCH(Inputs!$B$3,{"weibull","lognormal","loglogistic"},0),Inputs!$D$8,Inputs!$D$10,Inputs!$D$12)),1-NORM.S.DIST((LN(B216)-CHOOSE(MATCH(Inputs!$B$3,{"weibull","lognormal","loglogistic"},0),Inputs!$D$8,Inputs!$D$10,Inputs!$D$12))/CHOOSE(MATCH(Inputs!$B$3,{"weibull","lognormal","loglogistic"},0),Inputs!$F$8,Inputs!$F$10,Inputs!$F$12),TRUE))))</f>
        <v/>
      </c>
      <c r="E216">
        <f>(C215+C216)/2/12</f>
        <v/>
      </c>
      <c r="F216">
        <f>(D215+D216)/2/12</f>
        <v/>
      </c>
    </row>
    <row r="217">
      <c r="A217" t="n">
        <v>215</v>
      </c>
      <c r="B217">
        <f>A217/12</f>
        <v/>
      </c>
      <c r="C217">
        <f>IF(B217=0,1,IF(Inputs!$B$3="weibull",EXP(-(B217/CHOOSE(MATCH(Inputs!$B$3,{"weibull","lognormal","loglogistic"},0),Inputs!$F$7,Inputs!$F$9,Inputs!$F$11))^CHOOSE(MATCH(Inputs!$B$3,{"weibull","lognormal","loglogistic"},0),Inputs!$D$7,Inputs!$D$9,Inputs!$D$11)),IF(Inputs!$B$3="loglogistic",1/(1+(B217/CHOOSE(MATCH(Inputs!$B$3,{"weibull","lognormal","loglogistic"},0),Inputs!$F$7,Inputs!$F$9,Inputs!$F$11))^CHOOSE(MATCH(Inputs!$B$3,{"weibull","lognormal","loglogistic"},0),Inputs!$D$7,Inputs!$D$9,Inputs!$D$11)),1-NORM.S.DIST((LN(B217)-CHOOSE(MATCH(Inputs!$B$3,{"weibull","lognormal","loglogistic"},0),Inputs!$D$7,Inputs!$D$9,Inputs!$D$11))/CHOOSE(MATCH(Inputs!$B$3,{"weibull","lognormal","loglogistic"},0),Inputs!$F$7,Inputs!$F$9,Inputs!$F$11),TRUE))))</f>
        <v/>
      </c>
      <c r="D217">
        <f>IF(B217=0,1,IF(Inputs!$B$3="weibull",EXP(-(B217/CHOOSE(MATCH(Inputs!$B$3,{"weibull","lognormal","loglogistic"},0),Inputs!$F$8,Inputs!$F$10,Inputs!$F$12))^CHOOSE(MATCH(Inputs!$B$3,{"weibull","lognormal","loglogistic"},0),Inputs!$D$8,Inputs!$D$10,Inputs!$D$12)),IF(Inputs!$B$3="loglogistic",1/(1+(B217/CHOOSE(MATCH(Inputs!$B$3,{"weibull","lognormal","loglogistic"},0),Inputs!$F$8,Inputs!$F$10,Inputs!$F$12))^CHOOSE(MATCH(Inputs!$B$3,{"weibull","lognormal","loglogistic"},0),Inputs!$D$8,Inputs!$D$10,Inputs!$D$12)),1-NORM.S.DIST((LN(B217)-CHOOSE(MATCH(Inputs!$B$3,{"weibull","lognormal","loglogistic"},0),Inputs!$D$8,Inputs!$D$10,Inputs!$D$12))/CHOOSE(MATCH(Inputs!$B$3,{"weibull","lognormal","loglogistic"},0),Inputs!$F$8,Inputs!$F$10,Inputs!$F$12),TRUE))))</f>
        <v/>
      </c>
      <c r="E217">
        <f>(C216+C217)/2/12</f>
        <v/>
      </c>
      <c r="F217">
        <f>(D216+D217)/2/12</f>
        <v/>
      </c>
    </row>
    <row r="218">
      <c r="A218" t="n">
        <v>216</v>
      </c>
      <c r="B218">
        <f>A218/12</f>
        <v/>
      </c>
      <c r="C218">
        <f>IF(B218=0,1,IF(Inputs!$B$3="weibull",EXP(-(B218/CHOOSE(MATCH(Inputs!$B$3,{"weibull","lognormal","loglogistic"},0),Inputs!$F$7,Inputs!$F$9,Inputs!$F$11))^CHOOSE(MATCH(Inputs!$B$3,{"weibull","lognormal","loglogistic"},0),Inputs!$D$7,Inputs!$D$9,Inputs!$D$11)),IF(Inputs!$B$3="loglogistic",1/(1+(B218/CHOOSE(MATCH(Inputs!$B$3,{"weibull","lognormal","loglogistic"},0),Inputs!$F$7,Inputs!$F$9,Inputs!$F$11))^CHOOSE(MATCH(Inputs!$B$3,{"weibull","lognormal","loglogistic"},0),Inputs!$D$7,Inputs!$D$9,Inputs!$D$11)),1-NORM.S.DIST((LN(B218)-CHOOSE(MATCH(Inputs!$B$3,{"weibull","lognormal","loglogistic"},0),Inputs!$D$7,Inputs!$D$9,Inputs!$D$11))/CHOOSE(MATCH(Inputs!$B$3,{"weibull","lognormal","loglogistic"},0),Inputs!$F$7,Inputs!$F$9,Inputs!$F$11),TRUE))))</f>
        <v/>
      </c>
      <c r="D218">
        <f>IF(B218=0,1,IF(Inputs!$B$3="weibull",EXP(-(B218/CHOOSE(MATCH(Inputs!$B$3,{"weibull","lognormal","loglogistic"},0),Inputs!$F$8,Inputs!$F$10,Inputs!$F$12))^CHOOSE(MATCH(Inputs!$B$3,{"weibull","lognormal","loglogistic"},0),Inputs!$D$8,Inputs!$D$10,Inputs!$D$12)),IF(Inputs!$B$3="loglogistic",1/(1+(B218/CHOOSE(MATCH(Inputs!$B$3,{"weibull","lognormal","loglogistic"},0),Inputs!$F$8,Inputs!$F$10,Inputs!$F$12))^CHOOSE(MATCH(Inputs!$B$3,{"weibull","lognormal","loglogistic"},0),Inputs!$D$8,Inputs!$D$10,Inputs!$D$12)),1-NORM.S.DIST((LN(B218)-CHOOSE(MATCH(Inputs!$B$3,{"weibull","lognormal","loglogistic"},0),Inputs!$D$8,Inputs!$D$10,Inputs!$D$12))/CHOOSE(MATCH(Inputs!$B$3,{"weibull","lognormal","loglogistic"},0),Inputs!$F$8,Inputs!$F$10,Inputs!$F$12),TRUE))))</f>
        <v/>
      </c>
      <c r="E218">
        <f>(C217+C218)/2/12</f>
        <v/>
      </c>
      <c r="F218">
        <f>(D217+D218)/2/12</f>
        <v/>
      </c>
    </row>
    <row r="219">
      <c r="A219" t="n">
        <v>217</v>
      </c>
      <c r="B219">
        <f>A219/12</f>
        <v/>
      </c>
      <c r="C219">
        <f>IF(B219=0,1,IF(Inputs!$B$3="weibull",EXP(-(B219/CHOOSE(MATCH(Inputs!$B$3,{"weibull","lognormal","loglogistic"},0),Inputs!$F$7,Inputs!$F$9,Inputs!$F$11))^CHOOSE(MATCH(Inputs!$B$3,{"weibull","lognormal","loglogistic"},0),Inputs!$D$7,Inputs!$D$9,Inputs!$D$11)),IF(Inputs!$B$3="loglogistic",1/(1+(B219/CHOOSE(MATCH(Inputs!$B$3,{"weibull","lognormal","loglogistic"},0),Inputs!$F$7,Inputs!$F$9,Inputs!$F$11))^CHOOSE(MATCH(Inputs!$B$3,{"weibull","lognormal","loglogistic"},0),Inputs!$D$7,Inputs!$D$9,Inputs!$D$11)),1-NORM.S.DIST((LN(B219)-CHOOSE(MATCH(Inputs!$B$3,{"weibull","lognormal","loglogistic"},0),Inputs!$D$7,Inputs!$D$9,Inputs!$D$11))/CHOOSE(MATCH(Inputs!$B$3,{"weibull","lognormal","loglogistic"},0),Inputs!$F$7,Inputs!$F$9,Inputs!$F$11),TRUE))))</f>
        <v/>
      </c>
      <c r="D219">
        <f>IF(B219=0,1,IF(Inputs!$B$3="weibull",EXP(-(B219/CHOOSE(MATCH(Inputs!$B$3,{"weibull","lognormal","loglogistic"},0),Inputs!$F$8,Inputs!$F$10,Inputs!$F$12))^CHOOSE(MATCH(Inputs!$B$3,{"weibull","lognormal","loglogistic"},0),Inputs!$D$8,Inputs!$D$10,Inputs!$D$12)),IF(Inputs!$B$3="loglogistic",1/(1+(B219/CHOOSE(MATCH(Inputs!$B$3,{"weibull","lognormal","loglogistic"},0),Inputs!$F$8,Inputs!$F$10,Inputs!$F$12))^CHOOSE(MATCH(Inputs!$B$3,{"weibull","lognormal","loglogistic"},0),Inputs!$D$8,Inputs!$D$10,Inputs!$D$12)),1-NORM.S.DIST((LN(B219)-CHOOSE(MATCH(Inputs!$B$3,{"weibull","lognormal","loglogistic"},0),Inputs!$D$8,Inputs!$D$10,Inputs!$D$12))/CHOOSE(MATCH(Inputs!$B$3,{"weibull","lognormal","loglogistic"},0),Inputs!$F$8,Inputs!$F$10,Inputs!$F$12),TRUE))))</f>
        <v/>
      </c>
      <c r="E219">
        <f>(C218+C219)/2/12</f>
        <v/>
      </c>
      <c r="F219">
        <f>(D218+D219)/2/12</f>
        <v/>
      </c>
    </row>
    <row r="220">
      <c r="A220" t="n">
        <v>218</v>
      </c>
      <c r="B220">
        <f>A220/12</f>
        <v/>
      </c>
      <c r="C220">
        <f>IF(B220=0,1,IF(Inputs!$B$3="weibull",EXP(-(B220/CHOOSE(MATCH(Inputs!$B$3,{"weibull","lognormal","loglogistic"},0),Inputs!$F$7,Inputs!$F$9,Inputs!$F$11))^CHOOSE(MATCH(Inputs!$B$3,{"weibull","lognormal","loglogistic"},0),Inputs!$D$7,Inputs!$D$9,Inputs!$D$11)),IF(Inputs!$B$3="loglogistic",1/(1+(B220/CHOOSE(MATCH(Inputs!$B$3,{"weibull","lognormal","loglogistic"},0),Inputs!$F$7,Inputs!$F$9,Inputs!$F$11))^CHOOSE(MATCH(Inputs!$B$3,{"weibull","lognormal","loglogistic"},0),Inputs!$D$7,Inputs!$D$9,Inputs!$D$11)),1-NORM.S.DIST((LN(B220)-CHOOSE(MATCH(Inputs!$B$3,{"weibull","lognormal","loglogistic"},0),Inputs!$D$7,Inputs!$D$9,Inputs!$D$11))/CHOOSE(MATCH(Inputs!$B$3,{"weibull","lognormal","loglogistic"},0),Inputs!$F$7,Inputs!$F$9,Inputs!$F$11),TRUE))))</f>
        <v/>
      </c>
      <c r="D220">
        <f>IF(B220=0,1,IF(Inputs!$B$3="weibull",EXP(-(B220/CHOOSE(MATCH(Inputs!$B$3,{"weibull","lognormal","loglogistic"},0),Inputs!$F$8,Inputs!$F$10,Inputs!$F$12))^CHOOSE(MATCH(Inputs!$B$3,{"weibull","lognormal","loglogistic"},0),Inputs!$D$8,Inputs!$D$10,Inputs!$D$12)),IF(Inputs!$B$3="loglogistic",1/(1+(B220/CHOOSE(MATCH(Inputs!$B$3,{"weibull","lognormal","loglogistic"},0),Inputs!$F$8,Inputs!$F$10,Inputs!$F$12))^CHOOSE(MATCH(Inputs!$B$3,{"weibull","lognormal","loglogistic"},0),Inputs!$D$8,Inputs!$D$10,Inputs!$D$12)),1-NORM.S.DIST((LN(B220)-CHOOSE(MATCH(Inputs!$B$3,{"weibull","lognormal","loglogistic"},0),Inputs!$D$8,Inputs!$D$10,Inputs!$D$12))/CHOOSE(MATCH(Inputs!$B$3,{"weibull","lognormal","loglogistic"},0),Inputs!$F$8,Inputs!$F$10,Inputs!$F$12),TRUE))))</f>
        <v/>
      </c>
      <c r="E220">
        <f>(C219+C220)/2/12</f>
        <v/>
      </c>
      <c r="F220">
        <f>(D219+D220)/2/12</f>
        <v/>
      </c>
    </row>
    <row r="221">
      <c r="A221" t="n">
        <v>219</v>
      </c>
      <c r="B221">
        <f>A221/12</f>
        <v/>
      </c>
      <c r="C221">
        <f>IF(B221=0,1,IF(Inputs!$B$3="weibull",EXP(-(B221/CHOOSE(MATCH(Inputs!$B$3,{"weibull","lognormal","loglogistic"},0),Inputs!$F$7,Inputs!$F$9,Inputs!$F$11))^CHOOSE(MATCH(Inputs!$B$3,{"weibull","lognormal","loglogistic"},0),Inputs!$D$7,Inputs!$D$9,Inputs!$D$11)),IF(Inputs!$B$3="loglogistic",1/(1+(B221/CHOOSE(MATCH(Inputs!$B$3,{"weibull","lognormal","loglogistic"},0),Inputs!$F$7,Inputs!$F$9,Inputs!$F$11))^CHOOSE(MATCH(Inputs!$B$3,{"weibull","lognormal","loglogistic"},0),Inputs!$D$7,Inputs!$D$9,Inputs!$D$11)),1-NORM.S.DIST((LN(B221)-CHOOSE(MATCH(Inputs!$B$3,{"weibull","lognormal","loglogistic"},0),Inputs!$D$7,Inputs!$D$9,Inputs!$D$11))/CHOOSE(MATCH(Inputs!$B$3,{"weibull","lognormal","loglogistic"},0),Inputs!$F$7,Inputs!$F$9,Inputs!$F$11),TRUE))))</f>
        <v/>
      </c>
      <c r="D221">
        <f>IF(B221=0,1,IF(Inputs!$B$3="weibull",EXP(-(B221/CHOOSE(MATCH(Inputs!$B$3,{"weibull","lognormal","loglogistic"},0),Inputs!$F$8,Inputs!$F$10,Inputs!$F$12))^CHOOSE(MATCH(Inputs!$B$3,{"weibull","lognormal","loglogistic"},0),Inputs!$D$8,Inputs!$D$10,Inputs!$D$12)),IF(Inputs!$B$3="loglogistic",1/(1+(B221/CHOOSE(MATCH(Inputs!$B$3,{"weibull","lognormal","loglogistic"},0),Inputs!$F$8,Inputs!$F$10,Inputs!$F$12))^CHOOSE(MATCH(Inputs!$B$3,{"weibull","lognormal","loglogistic"},0),Inputs!$D$8,Inputs!$D$10,Inputs!$D$12)),1-NORM.S.DIST((LN(B221)-CHOOSE(MATCH(Inputs!$B$3,{"weibull","lognormal","loglogistic"},0),Inputs!$D$8,Inputs!$D$10,Inputs!$D$12))/CHOOSE(MATCH(Inputs!$B$3,{"weibull","lognormal","loglogistic"},0),Inputs!$F$8,Inputs!$F$10,Inputs!$F$12),TRUE))))</f>
        <v/>
      </c>
      <c r="E221">
        <f>(C220+C221)/2/12</f>
        <v/>
      </c>
      <c r="F221">
        <f>(D220+D221)/2/12</f>
        <v/>
      </c>
    </row>
    <row r="222">
      <c r="A222" t="n">
        <v>220</v>
      </c>
      <c r="B222">
        <f>A222/12</f>
        <v/>
      </c>
      <c r="C222">
        <f>IF(B222=0,1,IF(Inputs!$B$3="weibull",EXP(-(B222/CHOOSE(MATCH(Inputs!$B$3,{"weibull","lognormal","loglogistic"},0),Inputs!$F$7,Inputs!$F$9,Inputs!$F$11))^CHOOSE(MATCH(Inputs!$B$3,{"weibull","lognormal","loglogistic"},0),Inputs!$D$7,Inputs!$D$9,Inputs!$D$11)),IF(Inputs!$B$3="loglogistic",1/(1+(B222/CHOOSE(MATCH(Inputs!$B$3,{"weibull","lognormal","loglogistic"},0),Inputs!$F$7,Inputs!$F$9,Inputs!$F$11))^CHOOSE(MATCH(Inputs!$B$3,{"weibull","lognormal","loglogistic"},0),Inputs!$D$7,Inputs!$D$9,Inputs!$D$11)),1-NORM.S.DIST((LN(B222)-CHOOSE(MATCH(Inputs!$B$3,{"weibull","lognormal","loglogistic"},0),Inputs!$D$7,Inputs!$D$9,Inputs!$D$11))/CHOOSE(MATCH(Inputs!$B$3,{"weibull","lognormal","loglogistic"},0),Inputs!$F$7,Inputs!$F$9,Inputs!$F$11),TRUE))))</f>
        <v/>
      </c>
      <c r="D222">
        <f>IF(B222=0,1,IF(Inputs!$B$3="weibull",EXP(-(B222/CHOOSE(MATCH(Inputs!$B$3,{"weibull","lognormal","loglogistic"},0),Inputs!$F$8,Inputs!$F$10,Inputs!$F$12))^CHOOSE(MATCH(Inputs!$B$3,{"weibull","lognormal","loglogistic"},0),Inputs!$D$8,Inputs!$D$10,Inputs!$D$12)),IF(Inputs!$B$3="loglogistic",1/(1+(B222/CHOOSE(MATCH(Inputs!$B$3,{"weibull","lognormal","loglogistic"},0),Inputs!$F$8,Inputs!$F$10,Inputs!$F$12))^CHOOSE(MATCH(Inputs!$B$3,{"weibull","lognormal","loglogistic"},0),Inputs!$D$8,Inputs!$D$10,Inputs!$D$12)),1-NORM.S.DIST((LN(B222)-CHOOSE(MATCH(Inputs!$B$3,{"weibull","lognormal","loglogistic"},0),Inputs!$D$8,Inputs!$D$10,Inputs!$D$12))/CHOOSE(MATCH(Inputs!$B$3,{"weibull","lognormal","loglogistic"},0),Inputs!$F$8,Inputs!$F$10,Inputs!$F$12),TRUE))))</f>
        <v/>
      </c>
      <c r="E222">
        <f>(C221+C222)/2/12</f>
        <v/>
      </c>
      <c r="F222">
        <f>(D221+D222)/2/12</f>
        <v/>
      </c>
    </row>
    <row r="223">
      <c r="A223" t="n">
        <v>221</v>
      </c>
      <c r="B223">
        <f>A223/12</f>
        <v/>
      </c>
      <c r="C223">
        <f>IF(B223=0,1,IF(Inputs!$B$3="weibull",EXP(-(B223/CHOOSE(MATCH(Inputs!$B$3,{"weibull","lognormal","loglogistic"},0),Inputs!$F$7,Inputs!$F$9,Inputs!$F$11))^CHOOSE(MATCH(Inputs!$B$3,{"weibull","lognormal","loglogistic"},0),Inputs!$D$7,Inputs!$D$9,Inputs!$D$11)),IF(Inputs!$B$3="loglogistic",1/(1+(B223/CHOOSE(MATCH(Inputs!$B$3,{"weibull","lognormal","loglogistic"},0),Inputs!$F$7,Inputs!$F$9,Inputs!$F$11))^CHOOSE(MATCH(Inputs!$B$3,{"weibull","lognormal","loglogistic"},0),Inputs!$D$7,Inputs!$D$9,Inputs!$D$11)),1-NORM.S.DIST((LN(B223)-CHOOSE(MATCH(Inputs!$B$3,{"weibull","lognormal","loglogistic"},0),Inputs!$D$7,Inputs!$D$9,Inputs!$D$11))/CHOOSE(MATCH(Inputs!$B$3,{"weibull","lognormal","loglogistic"},0),Inputs!$F$7,Inputs!$F$9,Inputs!$F$11),TRUE))))</f>
        <v/>
      </c>
      <c r="D223">
        <f>IF(B223=0,1,IF(Inputs!$B$3="weibull",EXP(-(B223/CHOOSE(MATCH(Inputs!$B$3,{"weibull","lognormal","loglogistic"},0),Inputs!$F$8,Inputs!$F$10,Inputs!$F$12))^CHOOSE(MATCH(Inputs!$B$3,{"weibull","lognormal","loglogistic"},0),Inputs!$D$8,Inputs!$D$10,Inputs!$D$12)),IF(Inputs!$B$3="loglogistic",1/(1+(B223/CHOOSE(MATCH(Inputs!$B$3,{"weibull","lognormal","loglogistic"},0),Inputs!$F$8,Inputs!$F$10,Inputs!$F$12))^CHOOSE(MATCH(Inputs!$B$3,{"weibull","lognormal","loglogistic"},0),Inputs!$D$8,Inputs!$D$10,Inputs!$D$12)),1-NORM.S.DIST((LN(B223)-CHOOSE(MATCH(Inputs!$B$3,{"weibull","lognormal","loglogistic"},0),Inputs!$D$8,Inputs!$D$10,Inputs!$D$12))/CHOOSE(MATCH(Inputs!$B$3,{"weibull","lognormal","loglogistic"},0),Inputs!$F$8,Inputs!$F$10,Inputs!$F$12),TRUE))))</f>
        <v/>
      </c>
      <c r="E223">
        <f>(C222+C223)/2/12</f>
        <v/>
      </c>
      <c r="F223">
        <f>(D222+D223)/2/12</f>
        <v/>
      </c>
    </row>
    <row r="224">
      <c r="A224" t="n">
        <v>222</v>
      </c>
      <c r="B224">
        <f>A224/12</f>
        <v/>
      </c>
      <c r="C224">
        <f>IF(B224=0,1,IF(Inputs!$B$3="weibull",EXP(-(B224/CHOOSE(MATCH(Inputs!$B$3,{"weibull","lognormal","loglogistic"},0),Inputs!$F$7,Inputs!$F$9,Inputs!$F$11))^CHOOSE(MATCH(Inputs!$B$3,{"weibull","lognormal","loglogistic"},0),Inputs!$D$7,Inputs!$D$9,Inputs!$D$11)),IF(Inputs!$B$3="loglogistic",1/(1+(B224/CHOOSE(MATCH(Inputs!$B$3,{"weibull","lognormal","loglogistic"},0),Inputs!$F$7,Inputs!$F$9,Inputs!$F$11))^CHOOSE(MATCH(Inputs!$B$3,{"weibull","lognormal","loglogistic"},0),Inputs!$D$7,Inputs!$D$9,Inputs!$D$11)),1-NORM.S.DIST((LN(B224)-CHOOSE(MATCH(Inputs!$B$3,{"weibull","lognormal","loglogistic"},0),Inputs!$D$7,Inputs!$D$9,Inputs!$D$11))/CHOOSE(MATCH(Inputs!$B$3,{"weibull","lognormal","loglogistic"},0),Inputs!$F$7,Inputs!$F$9,Inputs!$F$11),TRUE))))</f>
        <v/>
      </c>
      <c r="D224">
        <f>IF(B224=0,1,IF(Inputs!$B$3="weibull",EXP(-(B224/CHOOSE(MATCH(Inputs!$B$3,{"weibull","lognormal","loglogistic"},0),Inputs!$F$8,Inputs!$F$10,Inputs!$F$12))^CHOOSE(MATCH(Inputs!$B$3,{"weibull","lognormal","loglogistic"},0),Inputs!$D$8,Inputs!$D$10,Inputs!$D$12)),IF(Inputs!$B$3="loglogistic",1/(1+(B224/CHOOSE(MATCH(Inputs!$B$3,{"weibull","lognormal","loglogistic"},0),Inputs!$F$8,Inputs!$F$10,Inputs!$F$12))^CHOOSE(MATCH(Inputs!$B$3,{"weibull","lognormal","loglogistic"},0),Inputs!$D$8,Inputs!$D$10,Inputs!$D$12)),1-NORM.S.DIST((LN(B224)-CHOOSE(MATCH(Inputs!$B$3,{"weibull","lognormal","loglogistic"},0),Inputs!$D$8,Inputs!$D$10,Inputs!$D$12))/CHOOSE(MATCH(Inputs!$B$3,{"weibull","lognormal","loglogistic"},0),Inputs!$F$8,Inputs!$F$10,Inputs!$F$12),TRUE))))</f>
        <v/>
      </c>
      <c r="E224">
        <f>(C223+C224)/2/12</f>
        <v/>
      </c>
      <c r="F224">
        <f>(D223+D224)/2/12</f>
        <v/>
      </c>
    </row>
    <row r="225">
      <c r="A225" t="n">
        <v>223</v>
      </c>
      <c r="B225">
        <f>A225/12</f>
        <v/>
      </c>
      <c r="C225">
        <f>IF(B225=0,1,IF(Inputs!$B$3="weibull",EXP(-(B225/CHOOSE(MATCH(Inputs!$B$3,{"weibull","lognormal","loglogistic"},0),Inputs!$F$7,Inputs!$F$9,Inputs!$F$11))^CHOOSE(MATCH(Inputs!$B$3,{"weibull","lognormal","loglogistic"},0),Inputs!$D$7,Inputs!$D$9,Inputs!$D$11)),IF(Inputs!$B$3="loglogistic",1/(1+(B225/CHOOSE(MATCH(Inputs!$B$3,{"weibull","lognormal","loglogistic"},0),Inputs!$F$7,Inputs!$F$9,Inputs!$F$11))^CHOOSE(MATCH(Inputs!$B$3,{"weibull","lognormal","loglogistic"},0),Inputs!$D$7,Inputs!$D$9,Inputs!$D$11)),1-NORM.S.DIST((LN(B225)-CHOOSE(MATCH(Inputs!$B$3,{"weibull","lognormal","loglogistic"},0),Inputs!$D$7,Inputs!$D$9,Inputs!$D$11))/CHOOSE(MATCH(Inputs!$B$3,{"weibull","lognormal","loglogistic"},0),Inputs!$F$7,Inputs!$F$9,Inputs!$F$11),TRUE))))</f>
        <v/>
      </c>
      <c r="D225">
        <f>IF(B225=0,1,IF(Inputs!$B$3="weibull",EXP(-(B225/CHOOSE(MATCH(Inputs!$B$3,{"weibull","lognormal","loglogistic"},0),Inputs!$F$8,Inputs!$F$10,Inputs!$F$12))^CHOOSE(MATCH(Inputs!$B$3,{"weibull","lognormal","loglogistic"},0),Inputs!$D$8,Inputs!$D$10,Inputs!$D$12)),IF(Inputs!$B$3="loglogistic",1/(1+(B225/CHOOSE(MATCH(Inputs!$B$3,{"weibull","lognormal","loglogistic"},0),Inputs!$F$8,Inputs!$F$10,Inputs!$F$12))^CHOOSE(MATCH(Inputs!$B$3,{"weibull","lognormal","loglogistic"},0),Inputs!$D$8,Inputs!$D$10,Inputs!$D$12)),1-NORM.S.DIST((LN(B225)-CHOOSE(MATCH(Inputs!$B$3,{"weibull","lognormal","loglogistic"},0),Inputs!$D$8,Inputs!$D$10,Inputs!$D$12))/CHOOSE(MATCH(Inputs!$B$3,{"weibull","lognormal","loglogistic"},0),Inputs!$F$8,Inputs!$F$10,Inputs!$F$12),TRUE))))</f>
        <v/>
      </c>
      <c r="E225">
        <f>(C224+C225)/2/12</f>
        <v/>
      </c>
      <c r="F225">
        <f>(D224+D225)/2/12</f>
        <v/>
      </c>
    </row>
    <row r="226">
      <c r="A226" t="n">
        <v>224</v>
      </c>
      <c r="B226">
        <f>A226/12</f>
        <v/>
      </c>
      <c r="C226">
        <f>IF(B226=0,1,IF(Inputs!$B$3="weibull",EXP(-(B226/CHOOSE(MATCH(Inputs!$B$3,{"weibull","lognormal","loglogistic"},0),Inputs!$F$7,Inputs!$F$9,Inputs!$F$11))^CHOOSE(MATCH(Inputs!$B$3,{"weibull","lognormal","loglogistic"},0),Inputs!$D$7,Inputs!$D$9,Inputs!$D$11)),IF(Inputs!$B$3="loglogistic",1/(1+(B226/CHOOSE(MATCH(Inputs!$B$3,{"weibull","lognormal","loglogistic"},0),Inputs!$F$7,Inputs!$F$9,Inputs!$F$11))^CHOOSE(MATCH(Inputs!$B$3,{"weibull","lognormal","loglogistic"},0),Inputs!$D$7,Inputs!$D$9,Inputs!$D$11)),1-NORM.S.DIST((LN(B226)-CHOOSE(MATCH(Inputs!$B$3,{"weibull","lognormal","loglogistic"},0),Inputs!$D$7,Inputs!$D$9,Inputs!$D$11))/CHOOSE(MATCH(Inputs!$B$3,{"weibull","lognormal","loglogistic"},0),Inputs!$F$7,Inputs!$F$9,Inputs!$F$11),TRUE))))</f>
        <v/>
      </c>
      <c r="D226">
        <f>IF(B226=0,1,IF(Inputs!$B$3="weibull",EXP(-(B226/CHOOSE(MATCH(Inputs!$B$3,{"weibull","lognormal","loglogistic"},0),Inputs!$F$8,Inputs!$F$10,Inputs!$F$12))^CHOOSE(MATCH(Inputs!$B$3,{"weibull","lognormal","loglogistic"},0),Inputs!$D$8,Inputs!$D$10,Inputs!$D$12)),IF(Inputs!$B$3="loglogistic",1/(1+(B226/CHOOSE(MATCH(Inputs!$B$3,{"weibull","lognormal","loglogistic"},0),Inputs!$F$8,Inputs!$F$10,Inputs!$F$12))^CHOOSE(MATCH(Inputs!$B$3,{"weibull","lognormal","loglogistic"},0),Inputs!$D$8,Inputs!$D$10,Inputs!$D$12)),1-NORM.S.DIST((LN(B226)-CHOOSE(MATCH(Inputs!$B$3,{"weibull","lognormal","loglogistic"},0),Inputs!$D$8,Inputs!$D$10,Inputs!$D$12))/CHOOSE(MATCH(Inputs!$B$3,{"weibull","lognormal","loglogistic"},0),Inputs!$F$8,Inputs!$F$10,Inputs!$F$12),TRUE))))</f>
        <v/>
      </c>
      <c r="E226">
        <f>(C225+C226)/2/12</f>
        <v/>
      </c>
      <c r="F226">
        <f>(D225+D226)/2/12</f>
        <v/>
      </c>
    </row>
    <row r="227">
      <c r="A227" t="n">
        <v>225</v>
      </c>
      <c r="B227">
        <f>A227/12</f>
        <v/>
      </c>
      <c r="C227">
        <f>IF(B227=0,1,IF(Inputs!$B$3="weibull",EXP(-(B227/CHOOSE(MATCH(Inputs!$B$3,{"weibull","lognormal","loglogistic"},0),Inputs!$F$7,Inputs!$F$9,Inputs!$F$11))^CHOOSE(MATCH(Inputs!$B$3,{"weibull","lognormal","loglogistic"},0),Inputs!$D$7,Inputs!$D$9,Inputs!$D$11)),IF(Inputs!$B$3="loglogistic",1/(1+(B227/CHOOSE(MATCH(Inputs!$B$3,{"weibull","lognormal","loglogistic"},0),Inputs!$F$7,Inputs!$F$9,Inputs!$F$11))^CHOOSE(MATCH(Inputs!$B$3,{"weibull","lognormal","loglogistic"},0),Inputs!$D$7,Inputs!$D$9,Inputs!$D$11)),1-NORM.S.DIST((LN(B227)-CHOOSE(MATCH(Inputs!$B$3,{"weibull","lognormal","loglogistic"},0),Inputs!$D$7,Inputs!$D$9,Inputs!$D$11))/CHOOSE(MATCH(Inputs!$B$3,{"weibull","lognormal","loglogistic"},0),Inputs!$F$7,Inputs!$F$9,Inputs!$F$11),TRUE))))</f>
        <v/>
      </c>
      <c r="D227">
        <f>IF(B227=0,1,IF(Inputs!$B$3="weibull",EXP(-(B227/CHOOSE(MATCH(Inputs!$B$3,{"weibull","lognormal","loglogistic"},0),Inputs!$F$8,Inputs!$F$10,Inputs!$F$12))^CHOOSE(MATCH(Inputs!$B$3,{"weibull","lognormal","loglogistic"},0),Inputs!$D$8,Inputs!$D$10,Inputs!$D$12)),IF(Inputs!$B$3="loglogistic",1/(1+(B227/CHOOSE(MATCH(Inputs!$B$3,{"weibull","lognormal","loglogistic"},0),Inputs!$F$8,Inputs!$F$10,Inputs!$F$12))^CHOOSE(MATCH(Inputs!$B$3,{"weibull","lognormal","loglogistic"},0),Inputs!$D$8,Inputs!$D$10,Inputs!$D$12)),1-NORM.S.DIST((LN(B227)-CHOOSE(MATCH(Inputs!$B$3,{"weibull","lognormal","loglogistic"},0),Inputs!$D$8,Inputs!$D$10,Inputs!$D$12))/CHOOSE(MATCH(Inputs!$B$3,{"weibull","lognormal","loglogistic"},0),Inputs!$F$8,Inputs!$F$10,Inputs!$F$12),TRUE))))</f>
        <v/>
      </c>
      <c r="E227">
        <f>(C226+C227)/2/12</f>
        <v/>
      </c>
      <c r="F227">
        <f>(D226+D227)/2/12</f>
        <v/>
      </c>
    </row>
    <row r="228">
      <c r="A228" t="n">
        <v>226</v>
      </c>
      <c r="B228">
        <f>A228/12</f>
        <v/>
      </c>
      <c r="C228">
        <f>IF(B228=0,1,IF(Inputs!$B$3="weibull",EXP(-(B228/CHOOSE(MATCH(Inputs!$B$3,{"weibull","lognormal","loglogistic"},0),Inputs!$F$7,Inputs!$F$9,Inputs!$F$11))^CHOOSE(MATCH(Inputs!$B$3,{"weibull","lognormal","loglogistic"},0),Inputs!$D$7,Inputs!$D$9,Inputs!$D$11)),IF(Inputs!$B$3="loglogistic",1/(1+(B228/CHOOSE(MATCH(Inputs!$B$3,{"weibull","lognormal","loglogistic"},0),Inputs!$F$7,Inputs!$F$9,Inputs!$F$11))^CHOOSE(MATCH(Inputs!$B$3,{"weibull","lognormal","loglogistic"},0),Inputs!$D$7,Inputs!$D$9,Inputs!$D$11)),1-NORM.S.DIST((LN(B228)-CHOOSE(MATCH(Inputs!$B$3,{"weibull","lognormal","loglogistic"},0),Inputs!$D$7,Inputs!$D$9,Inputs!$D$11))/CHOOSE(MATCH(Inputs!$B$3,{"weibull","lognormal","loglogistic"},0),Inputs!$F$7,Inputs!$F$9,Inputs!$F$11),TRUE))))</f>
        <v/>
      </c>
      <c r="D228">
        <f>IF(B228=0,1,IF(Inputs!$B$3="weibull",EXP(-(B228/CHOOSE(MATCH(Inputs!$B$3,{"weibull","lognormal","loglogistic"},0),Inputs!$F$8,Inputs!$F$10,Inputs!$F$12))^CHOOSE(MATCH(Inputs!$B$3,{"weibull","lognormal","loglogistic"},0),Inputs!$D$8,Inputs!$D$10,Inputs!$D$12)),IF(Inputs!$B$3="loglogistic",1/(1+(B228/CHOOSE(MATCH(Inputs!$B$3,{"weibull","lognormal","loglogistic"},0),Inputs!$F$8,Inputs!$F$10,Inputs!$F$12))^CHOOSE(MATCH(Inputs!$B$3,{"weibull","lognormal","loglogistic"},0),Inputs!$D$8,Inputs!$D$10,Inputs!$D$12)),1-NORM.S.DIST((LN(B228)-CHOOSE(MATCH(Inputs!$B$3,{"weibull","lognormal","loglogistic"},0),Inputs!$D$8,Inputs!$D$10,Inputs!$D$12))/CHOOSE(MATCH(Inputs!$B$3,{"weibull","lognormal","loglogistic"},0),Inputs!$F$8,Inputs!$F$10,Inputs!$F$12),TRUE))))</f>
        <v/>
      </c>
      <c r="E228">
        <f>(C227+C228)/2/12</f>
        <v/>
      </c>
      <c r="F228">
        <f>(D227+D228)/2/12</f>
        <v/>
      </c>
    </row>
    <row r="229">
      <c r="A229" t="n">
        <v>227</v>
      </c>
      <c r="B229">
        <f>A229/12</f>
        <v/>
      </c>
      <c r="C229">
        <f>IF(B229=0,1,IF(Inputs!$B$3="weibull",EXP(-(B229/CHOOSE(MATCH(Inputs!$B$3,{"weibull","lognormal","loglogistic"},0),Inputs!$F$7,Inputs!$F$9,Inputs!$F$11))^CHOOSE(MATCH(Inputs!$B$3,{"weibull","lognormal","loglogistic"},0),Inputs!$D$7,Inputs!$D$9,Inputs!$D$11)),IF(Inputs!$B$3="loglogistic",1/(1+(B229/CHOOSE(MATCH(Inputs!$B$3,{"weibull","lognormal","loglogistic"},0),Inputs!$F$7,Inputs!$F$9,Inputs!$F$11))^CHOOSE(MATCH(Inputs!$B$3,{"weibull","lognormal","loglogistic"},0),Inputs!$D$7,Inputs!$D$9,Inputs!$D$11)),1-NORM.S.DIST((LN(B229)-CHOOSE(MATCH(Inputs!$B$3,{"weibull","lognormal","loglogistic"},0),Inputs!$D$7,Inputs!$D$9,Inputs!$D$11))/CHOOSE(MATCH(Inputs!$B$3,{"weibull","lognormal","loglogistic"},0),Inputs!$F$7,Inputs!$F$9,Inputs!$F$11),TRUE))))</f>
        <v/>
      </c>
      <c r="D229">
        <f>IF(B229=0,1,IF(Inputs!$B$3="weibull",EXP(-(B229/CHOOSE(MATCH(Inputs!$B$3,{"weibull","lognormal","loglogistic"},0),Inputs!$F$8,Inputs!$F$10,Inputs!$F$12))^CHOOSE(MATCH(Inputs!$B$3,{"weibull","lognormal","loglogistic"},0),Inputs!$D$8,Inputs!$D$10,Inputs!$D$12)),IF(Inputs!$B$3="loglogistic",1/(1+(B229/CHOOSE(MATCH(Inputs!$B$3,{"weibull","lognormal","loglogistic"},0),Inputs!$F$8,Inputs!$F$10,Inputs!$F$12))^CHOOSE(MATCH(Inputs!$B$3,{"weibull","lognormal","loglogistic"},0),Inputs!$D$8,Inputs!$D$10,Inputs!$D$12)),1-NORM.S.DIST((LN(B229)-CHOOSE(MATCH(Inputs!$B$3,{"weibull","lognormal","loglogistic"},0),Inputs!$D$8,Inputs!$D$10,Inputs!$D$12))/CHOOSE(MATCH(Inputs!$B$3,{"weibull","lognormal","loglogistic"},0),Inputs!$F$8,Inputs!$F$10,Inputs!$F$12),TRUE))))</f>
        <v/>
      </c>
      <c r="E229">
        <f>(C228+C229)/2/12</f>
        <v/>
      </c>
      <c r="F229">
        <f>(D228+D229)/2/12</f>
        <v/>
      </c>
    </row>
    <row r="230">
      <c r="A230" t="n">
        <v>228</v>
      </c>
      <c r="B230">
        <f>A230/12</f>
        <v/>
      </c>
      <c r="C230">
        <f>IF(B230=0,1,IF(Inputs!$B$3="weibull",EXP(-(B230/CHOOSE(MATCH(Inputs!$B$3,{"weibull","lognormal","loglogistic"},0),Inputs!$F$7,Inputs!$F$9,Inputs!$F$11))^CHOOSE(MATCH(Inputs!$B$3,{"weibull","lognormal","loglogistic"},0),Inputs!$D$7,Inputs!$D$9,Inputs!$D$11)),IF(Inputs!$B$3="loglogistic",1/(1+(B230/CHOOSE(MATCH(Inputs!$B$3,{"weibull","lognormal","loglogistic"},0),Inputs!$F$7,Inputs!$F$9,Inputs!$F$11))^CHOOSE(MATCH(Inputs!$B$3,{"weibull","lognormal","loglogistic"},0),Inputs!$D$7,Inputs!$D$9,Inputs!$D$11)),1-NORM.S.DIST((LN(B230)-CHOOSE(MATCH(Inputs!$B$3,{"weibull","lognormal","loglogistic"},0),Inputs!$D$7,Inputs!$D$9,Inputs!$D$11))/CHOOSE(MATCH(Inputs!$B$3,{"weibull","lognormal","loglogistic"},0),Inputs!$F$7,Inputs!$F$9,Inputs!$F$11),TRUE))))</f>
        <v/>
      </c>
      <c r="D230">
        <f>IF(B230=0,1,IF(Inputs!$B$3="weibull",EXP(-(B230/CHOOSE(MATCH(Inputs!$B$3,{"weibull","lognormal","loglogistic"},0),Inputs!$F$8,Inputs!$F$10,Inputs!$F$12))^CHOOSE(MATCH(Inputs!$B$3,{"weibull","lognormal","loglogistic"},0),Inputs!$D$8,Inputs!$D$10,Inputs!$D$12)),IF(Inputs!$B$3="loglogistic",1/(1+(B230/CHOOSE(MATCH(Inputs!$B$3,{"weibull","lognormal","loglogistic"},0),Inputs!$F$8,Inputs!$F$10,Inputs!$F$12))^CHOOSE(MATCH(Inputs!$B$3,{"weibull","lognormal","loglogistic"},0),Inputs!$D$8,Inputs!$D$10,Inputs!$D$12)),1-NORM.S.DIST((LN(B230)-CHOOSE(MATCH(Inputs!$B$3,{"weibull","lognormal","loglogistic"},0),Inputs!$D$8,Inputs!$D$10,Inputs!$D$12))/CHOOSE(MATCH(Inputs!$B$3,{"weibull","lognormal","loglogistic"},0),Inputs!$F$8,Inputs!$F$10,Inputs!$F$12),TRUE))))</f>
        <v/>
      </c>
      <c r="E230">
        <f>(C229+C230)/2/12</f>
        <v/>
      </c>
      <c r="F230">
        <f>(D229+D230)/2/12</f>
        <v/>
      </c>
    </row>
    <row r="231">
      <c r="A231" t="n">
        <v>229</v>
      </c>
      <c r="B231">
        <f>A231/12</f>
        <v/>
      </c>
      <c r="C231">
        <f>IF(B231=0,1,IF(Inputs!$B$3="weibull",EXP(-(B231/CHOOSE(MATCH(Inputs!$B$3,{"weibull","lognormal","loglogistic"},0),Inputs!$F$7,Inputs!$F$9,Inputs!$F$11))^CHOOSE(MATCH(Inputs!$B$3,{"weibull","lognormal","loglogistic"},0),Inputs!$D$7,Inputs!$D$9,Inputs!$D$11)),IF(Inputs!$B$3="loglogistic",1/(1+(B231/CHOOSE(MATCH(Inputs!$B$3,{"weibull","lognormal","loglogistic"},0),Inputs!$F$7,Inputs!$F$9,Inputs!$F$11))^CHOOSE(MATCH(Inputs!$B$3,{"weibull","lognormal","loglogistic"},0),Inputs!$D$7,Inputs!$D$9,Inputs!$D$11)),1-NORM.S.DIST((LN(B231)-CHOOSE(MATCH(Inputs!$B$3,{"weibull","lognormal","loglogistic"},0),Inputs!$D$7,Inputs!$D$9,Inputs!$D$11))/CHOOSE(MATCH(Inputs!$B$3,{"weibull","lognormal","loglogistic"},0),Inputs!$F$7,Inputs!$F$9,Inputs!$F$11),TRUE))))</f>
        <v/>
      </c>
      <c r="D231">
        <f>IF(B231=0,1,IF(Inputs!$B$3="weibull",EXP(-(B231/CHOOSE(MATCH(Inputs!$B$3,{"weibull","lognormal","loglogistic"},0),Inputs!$F$8,Inputs!$F$10,Inputs!$F$12))^CHOOSE(MATCH(Inputs!$B$3,{"weibull","lognormal","loglogistic"},0),Inputs!$D$8,Inputs!$D$10,Inputs!$D$12)),IF(Inputs!$B$3="loglogistic",1/(1+(B231/CHOOSE(MATCH(Inputs!$B$3,{"weibull","lognormal","loglogistic"},0),Inputs!$F$8,Inputs!$F$10,Inputs!$F$12))^CHOOSE(MATCH(Inputs!$B$3,{"weibull","lognormal","loglogistic"},0),Inputs!$D$8,Inputs!$D$10,Inputs!$D$12)),1-NORM.S.DIST((LN(B231)-CHOOSE(MATCH(Inputs!$B$3,{"weibull","lognormal","loglogistic"},0),Inputs!$D$8,Inputs!$D$10,Inputs!$D$12))/CHOOSE(MATCH(Inputs!$B$3,{"weibull","lognormal","loglogistic"},0),Inputs!$F$8,Inputs!$F$10,Inputs!$F$12),TRUE))))</f>
        <v/>
      </c>
      <c r="E231">
        <f>(C230+C231)/2/12</f>
        <v/>
      </c>
      <c r="F231">
        <f>(D230+D231)/2/12</f>
        <v/>
      </c>
    </row>
    <row r="232">
      <c r="A232" t="n">
        <v>230</v>
      </c>
      <c r="B232">
        <f>A232/12</f>
        <v/>
      </c>
      <c r="C232">
        <f>IF(B232=0,1,IF(Inputs!$B$3="weibull",EXP(-(B232/CHOOSE(MATCH(Inputs!$B$3,{"weibull","lognormal","loglogistic"},0),Inputs!$F$7,Inputs!$F$9,Inputs!$F$11))^CHOOSE(MATCH(Inputs!$B$3,{"weibull","lognormal","loglogistic"},0),Inputs!$D$7,Inputs!$D$9,Inputs!$D$11)),IF(Inputs!$B$3="loglogistic",1/(1+(B232/CHOOSE(MATCH(Inputs!$B$3,{"weibull","lognormal","loglogistic"},0),Inputs!$F$7,Inputs!$F$9,Inputs!$F$11))^CHOOSE(MATCH(Inputs!$B$3,{"weibull","lognormal","loglogistic"},0),Inputs!$D$7,Inputs!$D$9,Inputs!$D$11)),1-NORM.S.DIST((LN(B232)-CHOOSE(MATCH(Inputs!$B$3,{"weibull","lognormal","loglogistic"},0),Inputs!$D$7,Inputs!$D$9,Inputs!$D$11))/CHOOSE(MATCH(Inputs!$B$3,{"weibull","lognormal","loglogistic"},0),Inputs!$F$7,Inputs!$F$9,Inputs!$F$11),TRUE))))</f>
        <v/>
      </c>
      <c r="D232">
        <f>IF(B232=0,1,IF(Inputs!$B$3="weibull",EXP(-(B232/CHOOSE(MATCH(Inputs!$B$3,{"weibull","lognormal","loglogistic"},0),Inputs!$F$8,Inputs!$F$10,Inputs!$F$12))^CHOOSE(MATCH(Inputs!$B$3,{"weibull","lognormal","loglogistic"},0),Inputs!$D$8,Inputs!$D$10,Inputs!$D$12)),IF(Inputs!$B$3="loglogistic",1/(1+(B232/CHOOSE(MATCH(Inputs!$B$3,{"weibull","lognormal","loglogistic"},0),Inputs!$F$8,Inputs!$F$10,Inputs!$F$12))^CHOOSE(MATCH(Inputs!$B$3,{"weibull","lognormal","loglogistic"},0),Inputs!$D$8,Inputs!$D$10,Inputs!$D$12)),1-NORM.S.DIST((LN(B232)-CHOOSE(MATCH(Inputs!$B$3,{"weibull","lognormal","loglogistic"},0),Inputs!$D$8,Inputs!$D$10,Inputs!$D$12))/CHOOSE(MATCH(Inputs!$B$3,{"weibull","lognormal","loglogistic"},0),Inputs!$F$8,Inputs!$F$10,Inputs!$F$12),TRUE))))</f>
        <v/>
      </c>
      <c r="E232">
        <f>(C231+C232)/2/12</f>
        <v/>
      </c>
      <c r="F232">
        <f>(D231+D232)/2/12</f>
        <v/>
      </c>
    </row>
    <row r="233">
      <c r="A233" t="n">
        <v>231</v>
      </c>
      <c r="B233">
        <f>A233/12</f>
        <v/>
      </c>
      <c r="C233">
        <f>IF(B233=0,1,IF(Inputs!$B$3="weibull",EXP(-(B233/CHOOSE(MATCH(Inputs!$B$3,{"weibull","lognormal","loglogistic"},0),Inputs!$F$7,Inputs!$F$9,Inputs!$F$11))^CHOOSE(MATCH(Inputs!$B$3,{"weibull","lognormal","loglogistic"},0),Inputs!$D$7,Inputs!$D$9,Inputs!$D$11)),IF(Inputs!$B$3="loglogistic",1/(1+(B233/CHOOSE(MATCH(Inputs!$B$3,{"weibull","lognormal","loglogistic"},0),Inputs!$F$7,Inputs!$F$9,Inputs!$F$11))^CHOOSE(MATCH(Inputs!$B$3,{"weibull","lognormal","loglogistic"},0),Inputs!$D$7,Inputs!$D$9,Inputs!$D$11)),1-NORM.S.DIST((LN(B233)-CHOOSE(MATCH(Inputs!$B$3,{"weibull","lognormal","loglogistic"},0),Inputs!$D$7,Inputs!$D$9,Inputs!$D$11))/CHOOSE(MATCH(Inputs!$B$3,{"weibull","lognormal","loglogistic"},0),Inputs!$F$7,Inputs!$F$9,Inputs!$F$11),TRUE))))</f>
        <v/>
      </c>
      <c r="D233">
        <f>IF(B233=0,1,IF(Inputs!$B$3="weibull",EXP(-(B233/CHOOSE(MATCH(Inputs!$B$3,{"weibull","lognormal","loglogistic"},0),Inputs!$F$8,Inputs!$F$10,Inputs!$F$12))^CHOOSE(MATCH(Inputs!$B$3,{"weibull","lognormal","loglogistic"},0),Inputs!$D$8,Inputs!$D$10,Inputs!$D$12)),IF(Inputs!$B$3="loglogistic",1/(1+(B233/CHOOSE(MATCH(Inputs!$B$3,{"weibull","lognormal","loglogistic"},0),Inputs!$F$8,Inputs!$F$10,Inputs!$F$12))^CHOOSE(MATCH(Inputs!$B$3,{"weibull","lognormal","loglogistic"},0),Inputs!$D$8,Inputs!$D$10,Inputs!$D$12)),1-NORM.S.DIST((LN(B233)-CHOOSE(MATCH(Inputs!$B$3,{"weibull","lognormal","loglogistic"},0),Inputs!$D$8,Inputs!$D$10,Inputs!$D$12))/CHOOSE(MATCH(Inputs!$B$3,{"weibull","lognormal","loglogistic"},0),Inputs!$F$8,Inputs!$F$10,Inputs!$F$12),TRUE))))</f>
        <v/>
      </c>
      <c r="E233">
        <f>(C232+C233)/2/12</f>
        <v/>
      </c>
      <c r="F233">
        <f>(D232+D233)/2/12</f>
        <v/>
      </c>
    </row>
    <row r="234">
      <c r="A234" t="n">
        <v>232</v>
      </c>
      <c r="B234">
        <f>A234/12</f>
        <v/>
      </c>
      <c r="C234">
        <f>IF(B234=0,1,IF(Inputs!$B$3="weibull",EXP(-(B234/CHOOSE(MATCH(Inputs!$B$3,{"weibull","lognormal","loglogistic"},0),Inputs!$F$7,Inputs!$F$9,Inputs!$F$11))^CHOOSE(MATCH(Inputs!$B$3,{"weibull","lognormal","loglogistic"},0),Inputs!$D$7,Inputs!$D$9,Inputs!$D$11)),IF(Inputs!$B$3="loglogistic",1/(1+(B234/CHOOSE(MATCH(Inputs!$B$3,{"weibull","lognormal","loglogistic"},0),Inputs!$F$7,Inputs!$F$9,Inputs!$F$11))^CHOOSE(MATCH(Inputs!$B$3,{"weibull","lognormal","loglogistic"},0),Inputs!$D$7,Inputs!$D$9,Inputs!$D$11)),1-NORM.S.DIST((LN(B234)-CHOOSE(MATCH(Inputs!$B$3,{"weibull","lognormal","loglogistic"},0),Inputs!$D$7,Inputs!$D$9,Inputs!$D$11))/CHOOSE(MATCH(Inputs!$B$3,{"weibull","lognormal","loglogistic"},0),Inputs!$F$7,Inputs!$F$9,Inputs!$F$11),TRUE))))</f>
        <v/>
      </c>
      <c r="D234">
        <f>IF(B234=0,1,IF(Inputs!$B$3="weibull",EXP(-(B234/CHOOSE(MATCH(Inputs!$B$3,{"weibull","lognormal","loglogistic"},0),Inputs!$F$8,Inputs!$F$10,Inputs!$F$12))^CHOOSE(MATCH(Inputs!$B$3,{"weibull","lognormal","loglogistic"},0),Inputs!$D$8,Inputs!$D$10,Inputs!$D$12)),IF(Inputs!$B$3="loglogistic",1/(1+(B234/CHOOSE(MATCH(Inputs!$B$3,{"weibull","lognormal","loglogistic"},0),Inputs!$F$8,Inputs!$F$10,Inputs!$F$12))^CHOOSE(MATCH(Inputs!$B$3,{"weibull","lognormal","loglogistic"},0),Inputs!$D$8,Inputs!$D$10,Inputs!$D$12)),1-NORM.S.DIST((LN(B234)-CHOOSE(MATCH(Inputs!$B$3,{"weibull","lognormal","loglogistic"},0),Inputs!$D$8,Inputs!$D$10,Inputs!$D$12))/CHOOSE(MATCH(Inputs!$B$3,{"weibull","lognormal","loglogistic"},0),Inputs!$F$8,Inputs!$F$10,Inputs!$F$12),TRUE))))</f>
        <v/>
      </c>
      <c r="E234">
        <f>(C233+C234)/2/12</f>
        <v/>
      </c>
      <c r="F234">
        <f>(D233+D234)/2/12</f>
        <v/>
      </c>
    </row>
    <row r="235">
      <c r="A235" t="n">
        <v>233</v>
      </c>
      <c r="B235">
        <f>A235/12</f>
        <v/>
      </c>
      <c r="C235">
        <f>IF(B235=0,1,IF(Inputs!$B$3="weibull",EXP(-(B235/CHOOSE(MATCH(Inputs!$B$3,{"weibull","lognormal","loglogistic"},0),Inputs!$F$7,Inputs!$F$9,Inputs!$F$11))^CHOOSE(MATCH(Inputs!$B$3,{"weibull","lognormal","loglogistic"},0),Inputs!$D$7,Inputs!$D$9,Inputs!$D$11)),IF(Inputs!$B$3="loglogistic",1/(1+(B235/CHOOSE(MATCH(Inputs!$B$3,{"weibull","lognormal","loglogistic"},0),Inputs!$F$7,Inputs!$F$9,Inputs!$F$11))^CHOOSE(MATCH(Inputs!$B$3,{"weibull","lognormal","loglogistic"},0),Inputs!$D$7,Inputs!$D$9,Inputs!$D$11)),1-NORM.S.DIST((LN(B235)-CHOOSE(MATCH(Inputs!$B$3,{"weibull","lognormal","loglogistic"},0),Inputs!$D$7,Inputs!$D$9,Inputs!$D$11))/CHOOSE(MATCH(Inputs!$B$3,{"weibull","lognormal","loglogistic"},0),Inputs!$F$7,Inputs!$F$9,Inputs!$F$11),TRUE))))</f>
        <v/>
      </c>
      <c r="D235">
        <f>IF(B235=0,1,IF(Inputs!$B$3="weibull",EXP(-(B235/CHOOSE(MATCH(Inputs!$B$3,{"weibull","lognormal","loglogistic"},0),Inputs!$F$8,Inputs!$F$10,Inputs!$F$12))^CHOOSE(MATCH(Inputs!$B$3,{"weibull","lognormal","loglogistic"},0),Inputs!$D$8,Inputs!$D$10,Inputs!$D$12)),IF(Inputs!$B$3="loglogistic",1/(1+(B235/CHOOSE(MATCH(Inputs!$B$3,{"weibull","lognormal","loglogistic"},0),Inputs!$F$8,Inputs!$F$10,Inputs!$F$12))^CHOOSE(MATCH(Inputs!$B$3,{"weibull","lognormal","loglogistic"},0),Inputs!$D$8,Inputs!$D$10,Inputs!$D$12)),1-NORM.S.DIST((LN(B235)-CHOOSE(MATCH(Inputs!$B$3,{"weibull","lognormal","loglogistic"},0),Inputs!$D$8,Inputs!$D$10,Inputs!$D$12))/CHOOSE(MATCH(Inputs!$B$3,{"weibull","lognormal","loglogistic"},0),Inputs!$F$8,Inputs!$F$10,Inputs!$F$12),TRUE))))</f>
        <v/>
      </c>
      <c r="E235">
        <f>(C234+C235)/2/12</f>
        <v/>
      </c>
      <c r="F235">
        <f>(D234+D235)/2/12</f>
        <v/>
      </c>
    </row>
    <row r="236">
      <c r="A236" t="n">
        <v>234</v>
      </c>
      <c r="B236">
        <f>A236/12</f>
        <v/>
      </c>
      <c r="C236">
        <f>IF(B236=0,1,IF(Inputs!$B$3="weibull",EXP(-(B236/CHOOSE(MATCH(Inputs!$B$3,{"weibull","lognormal","loglogistic"},0),Inputs!$F$7,Inputs!$F$9,Inputs!$F$11))^CHOOSE(MATCH(Inputs!$B$3,{"weibull","lognormal","loglogistic"},0),Inputs!$D$7,Inputs!$D$9,Inputs!$D$11)),IF(Inputs!$B$3="loglogistic",1/(1+(B236/CHOOSE(MATCH(Inputs!$B$3,{"weibull","lognormal","loglogistic"},0),Inputs!$F$7,Inputs!$F$9,Inputs!$F$11))^CHOOSE(MATCH(Inputs!$B$3,{"weibull","lognormal","loglogistic"},0),Inputs!$D$7,Inputs!$D$9,Inputs!$D$11)),1-NORM.S.DIST((LN(B236)-CHOOSE(MATCH(Inputs!$B$3,{"weibull","lognormal","loglogistic"},0),Inputs!$D$7,Inputs!$D$9,Inputs!$D$11))/CHOOSE(MATCH(Inputs!$B$3,{"weibull","lognormal","loglogistic"},0),Inputs!$F$7,Inputs!$F$9,Inputs!$F$11),TRUE))))</f>
        <v/>
      </c>
      <c r="D236">
        <f>IF(B236=0,1,IF(Inputs!$B$3="weibull",EXP(-(B236/CHOOSE(MATCH(Inputs!$B$3,{"weibull","lognormal","loglogistic"},0),Inputs!$F$8,Inputs!$F$10,Inputs!$F$12))^CHOOSE(MATCH(Inputs!$B$3,{"weibull","lognormal","loglogistic"},0),Inputs!$D$8,Inputs!$D$10,Inputs!$D$12)),IF(Inputs!$B$3="loglogistic",1/(1+(B236/CHOOSE(MATCH(Inputs!$B$3,{"weibull","lognormal","loglogistic"},0),Inputs!$F$8,Inputs!$F$10,Inputs!$F$12))^CHOOSE(MATCH(Inputs!$B$3,{"weibull","lognormal","loglogistic"},0),Inputs!$D$8,Inputs!$D$10,Inputs!$D$12)),1-NORM.S.DIST((LN(B236)-CHOOSE(MATCH(Inputs!$B$3,{"weibull","lognormal","loglogistic"},0),Inputs!$D$8,Inputs!$D$10,Inputs!$D$12))/CHOOSE(MATCH(Inputs!$B$3,{"weibull","lognormal","loglogistic"},0),Inputs!$F$8,Inputs!$F$10,Inputs!$F$12),TRUE))))</f>
        <v/>
      </c>
      <c r="E236">
        <f>(C235+C236)/2/12</f>
        <v/>
      </c>
      <c r="F236">
        <f>(D235+D236)/2/12</f>
        <v/>
      </c>
    </row>
    <row r="237">
      <c r="A237" t="n">
        <v>235</v>
      </c>
      <c r="B237">
        <f>A237/12</f>
        <v/>
      </c>
      <c r="C237">
        <f>IF(B237=0,1,IF(Inputs!$B$3="weibull",EXP(-(B237/CHOOSE(MATCH(Inputs!$B$3,{"weibull","lognormal","loglogistic"},0),Inputs!$F$7,Inputs!$F$9,Inputs!$F$11))^CHOOSE(MATCH(Inputs!$B$3,{"weibull","lognormal","loglogistic"},0),Inputs!$D$7,Inputs!$D$9,Inputs!$D$11)),IF(Inputs!$B$3="loglogistic",1/(1+(B237/CHOOSE(MATCH(Inputs!$B$3,{"weibull","lognormal","loglogistic"},0),Inputs!$F$7,Inputs!$F$9,Inputs!$F$11))^CHOOSE(MATCH(Inputs!$B$3,{"weibull","lognormal","loglogistic"},0),Inputs!$D$7,Inputs!$D$9,Inputs!$D$11)),1-NORM.S.DIST((LN(B237)-CHOOSE(MATCH(Inputs!$B$3,{"weibull","lognormal","loglogistic"},0),Inputs!$D$7,Inputs!$D$9,Inputs!$D$11))/CHOOSE(MATCH(Inputs!$B$3,{"weibull","lognormal","loglogistic"},0),Inputs!$F$7,Inputs!$F$9,Inputs!$F$11),TRUE))))</f>
        <v/>
      </c>
      <c r="D237">
        <f>IF(B237=0,1,IF(Inputs!$B$3="weibull",EXP(-(B237/CHOOSE(MATCH(Inputs!$B$3,{"weibull","lognormal","loglogistic"},0),Inputs!$F$8,Inputs!$F$10,Inputs!$F$12))^CHOOSE(MATCH(Inputs!$B$3,{"weibull","lognormal","loglogistic"},0),Inputs!$D$8,Inputs!$D$10,Inputs!$D$12)),IF(Inputs!$B$3="loglogistic",1/(1+(B237/CHOOSE(MATCH(Inputs!$B$3,{"weibull","lognormal","loglogistic"},0),Inputs!$F$8,Inputs!$F$10,Inputs!$F$12))^CHOOSE(MATCH(Inputs!$B$3,{"weibull","lognormal","loglogistic"},0),Inputs!$D$8,Inputs!$D$10,Inputs!$D$12)),1-NORM.S.DIST((LN(B237)-CHOOSE(MATCH(Inputs!$B$3,{"weibull","lognormal","loglogistic"},0),Inputs!$D$8,Inputs!$D$10,Inputs!$D$12))/CHOOSE(MATCH(Inputs!$B$3,{"weibull","lognormal","loglogistic"},0),Inputs!$F$8,Inputs!$F$10,Inputs!$F$12),TRUE))))</f>
        <v/>
      </c>
      <c r="E237">
        <f>(C236+C237)/2/12</f>
        <v/>
      </c>
      <c r="F237">
        <f>(D236+D237)/2/12</f>
        <v/>
      </c>
    </row>
    <row r="238">
      <c r="A238" t="n">
        <v>236</v>
      </c>
      <c r="B238">
        <f>A238/12</f>
        <v/>
      </c>
      <c r="C238">
        <f>IF(B238=0,1,IF(Inputs!$B$3="weibull",EXP(-(B238/CHOOSE(MATCH(Inputs!$B$3,{"weibull","lognormal","loglogistic"},0),Inputs!$F$7,Inputs!$F$9,Inputs!$F$11))^CHOOSE(MATCH(Inputs!$B$3,{"weibull","lognormal","loglogistic"},0),Inputs!$D$7,Inputs!$D$9,Inputs!$D$11)),IF(Inputs!$B$3="loglogistic",1/(1+(B238/CHOOSE(MATCH(Inputs!$B$3,{"weibull","lognormal","loglogistic"},0),Inputs!$F$7,Inputs!$F$9,Inputs!$F$11))^CHOOSE(MATCH(Inputs!$B$3,{"weibull","lognormal","loglogistic"},0),Inputs!$D$7,Inputs!$D$9,Inputs!$D$11)),1-NORM.S.DIST((LN(B238)-CHOOSE(MATCH(Inputs!$B$3,{"weibull","lognormal","loglogistic"},0),Inputs!$D$7,Inputs!$D$9,Inputs!$D$11))/CHOOSE(MATCH(Inputs!$B$3,{"weibull","lognormal","loglogistic"},0),Inputs!$F$7,Inputs!$F$9,Inputs!$F$11),TRUE))))</f>
        <v/>
      </c>
      <c r="D238">
        <f>IF(B238=0,1,IF(Inputs!$B$3="weibull",EXP(-(B238/CHOOSE(MATCH(Inputs!$B$3,{"weibull","lognormal","loglogistic"},0),Inputs!$F$8,Inputs!$F$10,Inputs!$F$12))^CHOOSE(MATCH(Inputs!$B$3,{"weibull","lognormal","loglogistic"},0),Inputs!$D$8,Inputs!$D$10,Inputs!$D$12)),IF(Inputs!$B$3="loglogistic",1/(1+(B238/CHOOSE(MATCH(Inputs!$B$3,{"weibull","lognormal","loglogistic"},0),Inputs!$F$8,Inputs!$F$10,Inputs!$F$12))^CHOOSE(MATCH(Inputs!$B$3,{"weibull","lognormal","loglogistic"},0),Inputs!$D$8,Inputs!$D$10,Inputs!$D$12)),1-NORM.S.DIST((LN(B238)-CHOOSE(MATCH(Inputs!$B$3,{"weibull","lognormal","loglogistic"},0),Inputs!$D$8,Inputs!$D$10,Inputs!$D$12))/CHOOSE(MATCH(Inputs!$B$3,{"weibull","lognormal","loglogistic"},0),Inputs!$F$8,Inputs!$F$10,Inputs!$F$12),TRUE))))</f>
        <v/>
      </c>
      <c r="E238">
        <f>(C237+C238)/2/12</f>
        <v/>
      </c>
      <c r="F238">
        <f>(D237+D238)/2/12</f>
        <v/>
      </c>
    </row>
    <row r="239">
      <c r="A239" t="n">
        <v>237</v>
      </c>
      <c r="B239">
        <f>A239/12</f>
        <v/>
      </c>
      <c r="C239">
        <f>IF(B239=0,1,IF(Inputs!$B$3="weibull",EXP(-(B239/CHOOSE(MATCH(Inputs!$B$3,{"weibull","lognormal","loglogistic"},0),Inputs!$F$7,Inputs!$F$9,Inputs!$F$11))^CHOOSE(MATCH(Inputs!$B$3,{"weibull","lognormal","loglogistic"},0),Inputs!$D$7,Inputs!$D$9,Inputs!$D$11)),IF(Inputs!$B$3="loglogistic",1/(1+(B239/CHOOSE(MATCH(Inputs!$B$3,{"weibull","lognormal","loglogistic"},0),Inputs!$F$7,Inputs!$F$9,Inputs!$F$11))^CHOOSE(MATCH(Inputs!$B$3,{"weibull","lognormal","loglogistic"},0),Inputs!$D$7,Inputs!$D$9,Inputs!$D$11)),1-NORM.S.DIST((LN(B239)-CHOOSE(MATCH(Inputs!$B$3,{"weibull","lognormal","loglogistic"},0),Inputs!$D$7,Inputs!$D$9,Inputs!$D$11))/CHOOSE(MATCH(Inputs!$B$3,{"weibull","lognormal","loglogistic"},0),Inputs!$F$7,Inputs!$F$9,Inputs!$F$11),TRUE))))</f>
        <v/>
      </c>
      <c r="D239">
        <f>IF(B239=0,1,IF(Inputs!$B$3="weibull",EXP(-(B239/CHOOSE(MATCH(Inputs!$B$3,{"weibull","lognormal","loglogistic"},0),Inputs!$F$8,Inputs!$F$10,Inputs!$F$12))^CHOOSE(MATCH(Inputs!$B$3,{"weibull","lognormal","loglogistic"},0),Inputs!$D$8,Inputs!$D$10,Inputs!$D$12)),IF(Inputs!$B$3="loglogistic",1/(1+(B239/CHOOSE(MATCH(Inputs!$B$3,{"weibull","lognormal","loglogistic"},0),Inputs!$F$8,Inputs!$F$10,Inputs!$F$12))^CHOOSE(MATCH(Inputs!$B$3,{"weibull","lognormal","loglogistic"},0),Inputs!$D$8,Inputs!$D$10,Inputs!$D$12)),1-NORM.S.DIST((LN(B239)-CHOOSE(MATCH(Inputs!$B$3,{"weibull","lognormal","loglogistic"},0),Inputs!$D$8,Inputs!$D$10,Inputs!$D$12))/CHOOSE(MATCH(Inputs!$B$3,{"weibull","lognormal","loglogistic"},0),Inputs!$F$8,Inputs!$F$10,Inputs!$F$12),TRUE))))</f>
        <v/>
      </c>
      <c r="E239">
        <f>(C238+C239)/2/12</f>
        <v/>
      </c>
      <c r="F239">
        <f>(D238+D239)/2/12</f>
        <v/>
      </c>
    </row>
    <row r="240">
      <c r="A240" t="n">
        <v>238</v>
      </c>
      <c r="B240">
        <f>A240/12</f>
        <v/>
      </c>
      <c r="C240">
        <f>IF(B240=0,1,IF(Inputs!$B$3="weibull",EXP(-(B240/CHOOSE(MATCH(Inputs!$B$3,{"weibull","lognormal","loglogistic"},0),Inputs!$F$7,Inputs!$F$9,Inputs!$F$11))^CHOOSE(MATCH(Inputs!$B$3,{"weibull","lognormal","loglogistic"},0),Inputs!$D$7,Inputs!$D$9,Inputs!$D$11)),IF(Inputs!$B$3="loglogistic",1/(1+(B240/CHOOSE(MATCH(Inputs!$B$3,{"weibull","lognormal","loglogistic"},0),Inputs!$F$7,Inputs!$F$9,Inputs!$F$11))^CHOOSE(MATCH(Inputs!$B$3,{"weibull","lognormal","loglogistic"},0),Inputs!$D$7,Inputs!$D$9,Inputs!$D$11)),1-NORM.S.DIST((LN(B240)-CHOOSE(MATCH(Inputs!$B$3,{"weibull","lognormal","loglogistic"},0),Inputs!$D$7,Inputs!$D$9,Inputs!$D$11))/CHOOSE(MATCH(Inputs!$B$3,{"weibull","lognormal","loglogistic"},0),Inputs!$F$7,Inputs!$F$9,Inputs!$F$11),TRUE))))</f>
        <v/>
      </c>
      <c r="D240">
        <f>IF(B240=0,1,IF(Inputs!$B$3="weibull",EXP(-(B240/CHOOSE(MATCH(Inputs!$B$3,{"weibull","lognormal","loglogistic"},0),Inputs!$F$8,Inputs!$F$10,Inputs!$F$12))^CHOOSE(MATCH(Inputs!$B$3,{"weibull","lognormal","loglogistic"},0),Inputs!$D$8,Inputs!$D$10,Inputs!$D$12)),IF(Inputs!$B$3="loglogistic",1/(1+(B240/CHOOSE(MATCH(Inputs!$B$3,{"weibull","lognormal","loglogistic"},0),Inputs!$F$8,Inputs!$F$10,Inputs!$F$12))^CHOOSE(MATCH(Inputs!$B$3,{"weibull","lognormal","loglogistic"},0),Inputs!$D$8,Inputs!$D$10,Inputs!$D$12)),1-NORM.S.DIST((LN(B240)-CHOOSE(MATCH(Inputs!$B$3,{"weibull","lognormal","loglogistic"},0),Inputs!$D$8,Inputs!$D$10,Inputs!$D$12))/CHOOSE(MATCH(Inputs!$B$3,{"weibull","lognormal","loglogistic"},0),Inputs!$F$8,Inputs!$F$10,Inputs!$F$12),TRUE))))</f>
        <v/>
      </c>
      <c r="E240">
        <f>(C239+C240)/2/12</f>
        <v/>
      </c>
      <c r="F240">
        <f>(D239+D240)/2/12</f>
        <v/>
      </c>
    </row>
    <row r="241">
      <c r="A241" t="n">
        <v>239</v>
      </c>
      <c r="B241">
        <f>A241/12</f>
        <v/>
      </c>
      <c r="C241">
        <f>IF(B241=0,1,IF(Inputs!$B$3="weibull",EXP(-(B241/CHOOSE(MATCH(Inputs!$B$3,{"weibull","lognormal","loglogistic"},0),Inputs!$F$7,Inputs!$F$9,Inputs!$F$11))^CHOOSE(MATCH(Inputs!$B$3,{"weibull","lognormal","loglogistic"},0),Inputs!$D$7,Inputs!$D$9,Inputs!$D$11)),IF(Inputs!$B$3="loglogistic",1/(1+(B241/CHOOSE(MATCH(Inputs!$B$3,{"weibull","lognormal","loglogistic"},0),Inputs!$F$7,Inputs!$F$9,Inputs!$F$11))^CHOOSE(MATCH(Inputs!$B$3,{"weibull","lognormal","loglogistic"},0),Inputs!$D$7,Inputs!$D$9,Inputs!$D$11)),1-NORM.S.DIST((LN(B241)-CHOOSE(MATCH(Inputs!$B$3,{"weibull","lognormal","loglogistic"},0),Inputs!$D$7,Inputs!$D$9,Inputs!$D$11))/CHOOSE(MATCH(Inputs!$B$3,{"weibull","lognormal","loglogistic"},0),Inputs!$F$7,Inputs!$F$9,Inputs!$F$11),TRUE))))</f>
        <v/>
      </c>
      <c r="D241">
        <f>IF(B241=0,1,IF(Inputs!$B$3="weibull",EXP(-(B241/CHOOSE(MATCH(Inputs!$B$3,{"weibull","lognormal","loglogistic"},0),Inputs!$F$8,Inputs!$F$10,Inputs!$F$12))^CHOOSE(MATCH(Inputs!$B$3,{"weibull","lognormal","loglogistic"},0),Inputs!$D$8,Inputs!$D$10,Inputs!$D$12)),IF(Inputs!$B$3="loglogistic",1/(1+(B241/CHOOSE(MATCH(Inputs!$B$3,{"weibull","lognormal","loglogistic"},0),Inputs!$F$8,Inputs!$F$10,Inputs!$F$12))^CHOOSE(MATCH(Inputs!$B$3,{"weibull","lognormal","loglogistic"},0),Inputs!$D$8,Inputs!$D$10,Inputs!$D$12)),1-NORM.S.DIST((LN(B241)-CHOOSE(MATCH(Inputs!$B$3,{"weibull","lognormal","loglogistic"},0),Inputs!$D$8,Inputs!$D$10,Inputs!$D$12))/CHOOSE(MATCH(Inputs!$B$3,{"weibull","lognormal","loglogistic"},0),Inputs!$F$8,Inputs!$F$10,Inputs!$F$12),TRUE))))</f>
        <v/>
      </c>
      <c r="E241">
        <f>(C240+C241)/2/12</f>
        <v/>
      </c>
      <c r="F241">
        <f>(D240+D241)/2/12</f>
        <v/>
      </c>
    </row>
    <row r="242">
      <c r="A242" t="n">
        <v>240</v>
      </c>
      <c r="B242">
        <f>A242/12</f>
        <v/>
      </c>
      <c r="C242">
        <f>IF(B242=0,1,IF(Inputs!$B$3="weibull",EXP(-(B242/CHOOSE(MATCH(Inputs!$B$3,{"weibull","lognormal","loglogistic"},0),Inputs!$F$7,Inputs!$F$9,Inputs!$F$11))^CHOOSE(MATCH(Inputs!$B$3,{"weibull","lognormal","loglogistic"},0),Inputs!$D$7,Inputs!$D$9,Inputs!$D$11)),IF(Inputs!$B$3="loglogistic",1/(1+(B242/CHOOSE(MATCH(Inputs!$B$3,{"weibull","lognormal","loglogistic"},0),Inputs!$F$7,Inputs!$F$9,Inputs!$F$11))^CHOOSE(MATCH(Inputs!$B$3,{"weibull","lognormal","loglogistic"},0),Inputs!$D$7,Inputs!$D$9,Inputs!$D$11)),1-NORM.S.DIST((LN(B242)-CHOOSE(MATCH(Inputs!$B$3,{"weibull","lognormal","loglogistic"},0),Inputs!$D$7,Inputs!$D$9,Inputs!$D$11))/CHOOSE(MATCH(Inputs!$B$3,{"weibull","lognormal","loglogistic"},0),Inputs!$F$7,Inputs!$F$9,Inputs!$F$11),TRUE))))</f>
        <v/>
      </c>
      <c r="D242">
        <f>IF(B242=0,1,IF(Inputs!$B$3="weibull",EXP(-(B242/CHOOSE(MATCH(Inputs!$B$3,{"weibull","lognormal","loglogistic"},0),Inputs!$F$8,Inputs!$F$10,Inputs!$F$12))^CHOOSE(MATCH(Inputs!$B$3,{"weibull","lognormal","loglogistic"},0),Inputs!$D$8,Inputs!$D$10,Inputs!$D$12)),IF(Inputs!$B$3="loglogistic",1/(1+(B242/CHOOSE(MATCH(Inputs!$B$3,{"weibull","lognormal","loglogistic"},0),Inputs!$F$8,Inputs!$F$10,Inputs!$F$12))^CHOOSE(MATCH(Inputs!$B$3,{"weibull","lognormal","loglogistic"},0),Inputs!$D$8,Inputs!$D$10,Inputs!$D$12)),1-NORM.S.DIST((LN(B242)-CHOOSE(MATCH(Inputs!$B$3,{"weibull","lognormal","loglogistic"},0),Inputs!$D$8,Inputs!$D$10,Inputs!$D$12))/CHOOSE(MATCH(Inputs!$B$3,{"weibull","lognormal","loglogistic"},0),Inputs!$F$8,Inputs!$F$10,Inputs!$F$12),TRUE))))</f>
        <v/>
      </c>
      <c r="E242">
        <f>(C241+C242)/2/12</f>
        <v/>
      </c>
      <c r="F242">
        <f>(D241+D242)/2/12</f>
        <v/>
      </c>
    </row>
    <row r="243">
      <c r="A243" t="n">
        <v>241</v>
      </c>
      <c r="B243">
        <f>A243/12</f>
        <v/>
      </c>
      <c r="C243">
        <f>IF(B243=0,1,IF(Inputs!$B$3="weibull",EXP(-(B243/CHOOSE(MATCH(Inputs!$B$3,{"weibull","lognormal","loglogistic"},0),Inputs!$F$7,Inputs!$F$9,Inputs!$F$11))^CHOOSE(MATCH(Inputs!$B$3,{"weibull","lognormal","loglogistic"},0),Inputs!$D$7,Inputs!$D$9,Inputs!$D$11)),IF(Inputs!$B$3="loglogistic",1/(1+(B243/CHOOSE(MATCH(Inputs!$B$3,{"weibull","lognormal","loglogistic"},0),Inputs!$F$7,Inputs!$F$9,Inputs!$F$11))^CHOOSE(MATCH(Inputs!$B$3,{"weibull","lognormal","loglogistic"},0),Inputs!$D$7,Inputs!$D$9,Inputs!$D$11)),1-NORM.S.DIST((LN(B243)-CHOOSE(MATCH(Inputs!$B$3,{"weibull","lognormal","loglogistic"},0),Inputs!$D$7,Inputs!$D$9,Inputs!$D$11))/CHOOSE(MATCH(Inputs!$B$3,{"weibull","lognormal","loglogistic"},0),Inputs!$F$7,Inputs!$F$9,Inputs!$F$11),TRUE))))</f>
        <v/>
      </c>
      <c r="D243">
        <f>IF(B243=0,1,IF(Inputs!$B$3="weibull",EXP(-(B243/CHOOSE(MATCH(Inputs!$B$3,{"weibull","lognormal","loglogistic"},0),Inputs!$F$8,Inputs!$F$10,Inputs!$F$12))^CHOOSE(MATCH(Inputs!$B$3,{"weibull","lognormal","loglogistic"},0),Inputs!$D$8,Inputs!$D$10,Inputs!$D$12)),IF(Inputs!$B$3="loglogistic",1/(1+(B243/CHOOSE(MATCH(Inputs!$B$3,{"weibull","lognormal","loglogistic"},0),Inputs!$F$8,Inputs!$F$10,Inputs!$F$12))^CHOOSE(MATCH(Inputs!$B$3,{"weibull","lognormal","loglogistic"},0),Inputs!$D$8,Inputs!$D$10,Inputs!$D$12)),1-NORM.S.DIST((LN(B243)-CHOOSE(MATCH(Inputs!$B$3,{"weibull","lognormal","loglogistic"},0),Inputs!$D$8,Inputs!$D$10,Inputs!$D$12))/CHOOSE(MATCH(Inputs!$B$3,{"weibull","lognormal","loglogistic"},0),Inputs!$F$8,Inputs!$F$10,Inputs!$F$12),TRUE))))</f>
        <v/>
      </c>
      <c r="E243">
        <f>(C242+C243)/2/12</f>
        <v/>
      </c>
      <c r="F243">
        <f>(D242+D243)/2/12</f>
        <v/>
      </c>
    </row>
    <row r="244">
      <c r="A244" t="n">
        <v>242</v>
      </c>
      <c r="B244">
        <f>A244/12</f>
        <v/>
      </c>
      <c r="C244">
        <f>IF(B244=0,1,IF(Inputs!$B$3="weibull",EXP(-(B244/CHOOSE(MATCH(Inputs!$B$3,{"weibull","lognormal","loglogistic"},0),Inputs!$F$7,Inputs!$F$9,Inputs!$F$11))^CHOOSE(MATCH(Inputs!$B$3,{"weibull","lognormal","loglogistic"},0),Inputs!$D$7,Inputs!$D$9,Inputs!$D$11)),IF(Inputs!$B$3="loglogistic",1/(1+(B244/CHOOSE(MATCH(Inputs!$B$3,{"weibull","lognormal","loglogistic"},0),Inputs!$F$7,Inputs!$F$9,Inputs!$F$11))^CHOOSE(MATCH(Inputs!$B$3,{"weibull","lognormal","loglogistic"},0),Inputs!$D$7,Inputs!$D$9,Inputs!$D$11)),1-NORM.S.DIST((LN(B244)-CHOOSE(MATCH(Inputs!$B$3,{"weibull","lognormal","loglogistic"},0),Inputs!$D$7,Inputs!$D$9,Inputs!$D$11))/CHOOSE(MATCH(Inputs!$B$3,{"weibull","lognormal","loglogistic"},0),Inputs!$F$7,Inputs!$F$9,Inputs!$F$11),TRUE))))</f>
        <v/>
      </c>
      <c r="D244">
        <f>IF(B244=0,1,IF(Inputs!$B$3="weibull",EXP(-(B244/CHOOSE(MATCH(Inputs!$B$3,{"weibull","lognormal","loglogistic"},0),Inputs!$F$8,Inputs!$F$10,Inputs!$F$12))^CHOOSE(MATCH(Inputs!$B$3,{"weibull","lognormal","loglogistic"},0),Inputs!$D$8,Inputs!$D$10,Inputs!$D$12)),IF(Inputs!$B$3="loglogistic",1/(1+(B244/CHOOSE(MATCH(Inputs!$B$3,{"weibull","lognormal","loglogistic"},0),Inputs!$F$8,Inputs!$F$10,Inputs!$F$12))^CHOOSE(MATCH(Inputs!$B$3,{"weibull","lognormal","loglogistic"},0),Inputs!$D$8,Inputs!$D$10,Inputs!$D$12)),1-NORM.S.DIST((LN(B244)-CHOOSE(MATCH(Inputs!$B$3,{"weibull","lognormal","loglogistic"},0),Inputs!$D$8,Inputs!$D$10,Inputs!$D$12))/CHOOSE(MATCH(Inputs!$B$3,{"weibull","lognormal","loglogistic"},0),Inputs!$F$8,Inputs!$F$10,Inputs!$F$12),TRUE))))</f>
        <v/>
      </c>
      <c r="E244">
        <f>(C243+C244)/2/12</f>
        <v/>
      </c>
      <c r="F244">
        <f>(D243+D244)/2/12</f>
        <v/>
      </c>
    </row>
    <row r="245">
      <c r="A245" t="n">
        <v>243</v>
      </c>
      <c r="B245">
        <f>A245/12</f>
        <v/>
      </c>
      <c r="C245">
        <f>IF(B245=0,1,IF(Inputs!$B$3="weibull",EXP(-(B245/CHOOSE(MATCH(Inputs!$B$3,{"weibull","lognormal","loglogistic"},0),Inputs!$F$7,Inputs!$F$9,Inputs!$F$11))^CHOOSE(MATCH(Inputs!$B$3,{"weibull","lognormal","loglogistic"},0),Inputs!$D$7,Inputs!$D$9,Inputs!$D$11)),IF(Inputs!$B$3="loglogistic",1/(1+(B245/CHOOSE(MATCH(Inputs!$B$3,{"weibull","lognormal","loglogistic"},0),Inputs!$F$7,Inputs!$F$9,Inputs!$F$11))^CHOOSE(MATCH(Inputs!$B$3,{"weibull","lognormal","loglogistic"},0),Inputs!$D$7,Inputs!$D$9,Inputs!$D$11)),1-NORM.S.DIST((LN(B245)-CHOOSE(MATCH(Inputs!$B$3,{"weibull","lognormal","loglogistic"},0),Inputs!$D$7,Inputs!$D$9,Inputs!$D$11))/CHOOSE(MATCH(Inputs!$B$3,{"weibull","lognormal","loglogistic"},0),Inputs!$F$7,Inputs!$F$9,Inputs!$F$11),TRUE))))</f>
        <v/>
      </c>
      <c r="D245">
        <f>IF(B245=0,1,IF(Inputs!$B$3="weibull",EXP(-(B245/CHOOSE(MATCH(Inputs!$B$3,{"weibull","lognormal","loglogistic"},0),Inputs!$F$8,Inputs!$F$10,Inputs!$F$12))^CHOOSE(MATCH(Inputs!$B$3,{"weibull","lognormal","loglogistic"},0),Inputs!$D$8,Inputs!$D$10,Inputs!$D$12)),IF(Inputs!$B$3="loglogistic",1/(1+(B245/CHOOSE(MATCH(Inputs!$B$3,{"weibull","lognormal","loglogistic"},0),Inputs!$F$8,Inputs!$F$10,Inputs!$F$12))^CHOOSE(MATCH(Inputs!$B$3,{"weibull","lognormal","loglogistic"},0),Inputs!$D$8,Inputs!$D$10,Inputs!$D$12)),1-NORM.S.DIST((LN(B245)-CHOOSE(MATCH(Inputs!$B$3,{"weibull","lognormal","loglogistic"},0),Inputs!$D$8,Inputs!$D$10,Inputs!$D$12))/CHOOSE(MATCH(Inputs!$B$3,{"weibull","lognormal","loglogistic"},0),Inputs!$F$8,Inputs!$F$10,Inputs!$F$12),TRUE))))</f>
        <v/>
      </c>
      <c r="E245">
        <f>(C244+C245)/2/12</f>
        <v/>
      </c>
      <c r="F245">
        <f>(D244+D245)/2/12</f>
        <v/>
      </c>
    </row>
    <row r="246">
      <c r="A246" t="n">
        <v>244</v>
      </c>
      <c r="B246">
        <f>A246/12</f>
        <v/>
      </c>
      <c r="C246">
        <f>IF(B246=0,1,IF(Inputs!$B$3="weibull",EXP(-(B246/CHOOSE(MATCH(Inputs!$B$3,{"weibull","lognormal","loglogistic"},0),Inputs!$F$7,Inputs!$F$9,Inputs!$F$11))^CHOOSE(MATCH(Inputs!$B$3,{"weibull","lognormal","loglogistic"},0),Inputs!$D$7,Inputs!$D$9,Inputs!$D$11)),IF(Inputs!$B$3="loglogistic",1/(1+(B246/CHOOSE(MATCH(Inputs!$B$3,{"weibull","lognormal","loglogistic"},0),Inputs!$F$7,Inputs!$F$9,Inputs!$F$11))^CHOOSE(MATCH(Inputs!$B$3,{"weibull","lognormal","loglogistic"},0),Inputs!$D$7,Inputs!$D$9,Inputs!$D$11)),1-NORM.S.DIST((LN(B246)-CHOOSE(MATCH(Inputs!$B$3,{"weibull","lognormal","loglogistic"},0),Inputs!$D$7,Inputs!$D$9,Inputs!$D$11))/CHOOSE(MATCH(Inputs!$B$3,{"weibull","lognormal","loglogistic"},0),Inputs!$F$7,Inputs!$F$9,Inputs!$F$11),TRUE))))</f>
        <v/>
      </c>
      <c r="D246">
        <f>IF(B246=0,1,IF(Inputs!$B$3="weibull",EXP(-(B246/CHOOSE(MATCH(Inputs!$B$3,{"weibull","lognormal","loglogistic"},0),Inputs!$F$8,Inputs!$F$10,Inputs!$F$12))^CHOOSE(MATCH(Inputs!$B$3,{"weibull","lognormal","loglogistic"},0),Inputs!$D$8,Inputs!$D$10,Inputs!$D$12)),IF(Inputs!$B$3="loglogistic",1/(1+(B246/CHOOSE(MATCH(Inputs!$B$3,{"weibull","lognormal","loglogistic"},0),Inputs!$F$8,Inputs!$F$10,Inputs!$F$12))^CHOOSE(MATCH(Inputs!$B$3,{"weibull","lognormal","loglogistic"},0),Inputs!$D$8,Inputs!$D$10,Inputs!$D$12)),1-NORM.S.DIST((LN(B246)-CHOOSE(MATCH(Inputs!$B$3,{"weibull","lognormal","loglogistic"},0),Inputs!$D$8,Inputs!$D$10,Inputs!$D$12))/CHOOSE(MATCH(Inputs!$B$3,{"weibull","lognormal","loglogistic"},0),Inputs!$F$8,Inputs!$F$10,Inputs!$F$12),TRUE))))</f>
        <v/>
      </c>
      <c r="E246">
        <f>(C245+C246)/2/12</f>
        <v/>
      </c>
      <c r="F246">
        <f>(D245+D246)/2/12</f>
        <v/>
      </c>
    </row>
    <row r="247">
      <c r="A247" t="n">
        <v>245</v>
      </c>
      <c r="B247">
        <f>A247/12</f>
        <v/>
      </c>
      <c r="C247">
        <f>IF(B247=0,1,IF(Inputs!$B$3="weibull",EXP(-(B247/CHOOSE(MATCH(Inputs!$B$3,{"weibull","lognormal","loglogistic"},0),Inputs!$F$7,Inputs!$F$9,Inputs!$F$11))^CHOOSE(MATCH(Inputs!$B$3,{"weibull","lognormal","loglogistic"},0),Inputs!$D$7,Inputs!$D$9,Inputs!$D$11)),IF(Inputs!$B$3="loglogistic",1/(1+(B247/CHOOSE(MATCH(Inputs!$B$3,{"weibull","lognormal","loglogistic"},0),Inputs!$F$7,Inputs!$F$9,Inputs!$F$11))^CHOOSE(MATCH(Inputs!$B$3,{"weibull","lognormal","loglogistic"},0),Inputs!$D$7,Inputs!$D$9,Inputs!$D$11)),1-NORM.S.DIST((LN(B247)-CHOOSE(MATCH(Inputs!$B$3,{"weibull","lognormal","loglogistic"},0),Inputs!$D$7,Inputs!$D$9,Inputs!$D$11))/CHOOSE(MATCH(Inputs!$B$3,{"weibull","lognormal","loglogistic"},0),Inputs!$F$7,Inputs!$F$9,Inputs!$F$11),TRUE))))</f>
        <v/>
      </c>
      <c r="D247">
        <f>IF(B247=0,1,IF(Inputs!$B$3="weibull",EXP(-(B247/CHOOSE(MATCH(Inputs!$B$3,{"weibull","lognormal","loglogistic"},0),Inputs!$F$8,Inputs!$F$10,Inputs!$F$12))^CHOOSE(MATCH(Inputs!$B$3,{"weibull","lognormal","loglogistic"},0),Inputs!$D$8,Inputs!$D$10,Inputs!$D$12)),IF(Inputs!$B$3="loglogistic",1/(1+(B247/CHOOSE(MATCH(Inputs!$B$3,{"weibull","lognormal","loglogistic"},0),Inputs!$F$8,Inputs!$F$10,Inputs!$F$12))^CHOOSE(MATCH(Inputs!$B$3,{"weibull","lognormal","loglogistic"},0),Inputs!$D$8,Inputs!$D$10,Inputs!$D$12)),1-NORM.S.DIST((LN(B247)-CHOOSE(MATCH(Inputs!$B$3,{"weibull","lognormal","loglogistic"},0),Inputs!$D$8,Inputs!$D$10,Inputs!$D$12))/CHOOSE(MATCH(Inputs!$B$3,{"weibull","lognormal","loglogistic"},0),Inputs!$F$8,Inputs!$F$10,Inputs!$F$12),TRUE))))</f>
        <v/>
      </c>
      <c r="E247">
        <f>(C246+C247)/2/12</f>
        <v/>
      </c>
      <c r="F247">
        <f>(D246+D247)/2/12</f>
        <v/>
      </c>
    </row>
    <row r="248">
      <c r="A248" t="n">
        <v>246</v>
      </c>
      <c r="B248">
        <f>A248/12</f>
        <v/>
      </c>
      <c r="C248">
        <f>IF(B248=0,1,IF(Inputs!$B$3="weibull",EXP(-(B248/CHOOSE(MATCH(Inputs!$B$3,{"weibull","lognormal","loglogistic"},0),Inputs!$F$7,Inputs!$F$9,Inputs!$F$11))^CHOOSE(MATCH(Inputs!$B$3,{"weibull","lognormal","loglogistic"},0),Inputs!$D$7,Inputs!$D$9,Inputs!$D$11)),IF(Inputs!$B$3="loglogistic",1/(1+(B248/CHOOSE(MATCH(Inputs!$B$3,{"weibull","lognormal","loglogistic"},0),Inputs!$F$7,Inputs!$F$9,Inputs!$F$11))^CHOOSE(MATCH(Inputs!$B$3,{"weibull","lognormal","loglogistic"},0),Inputs!$D$7,Inputs!$D$9,Inputs!$D$11)),1-NORM.S.DIST((LN(B248)-CHOOSE(MATCH(Inputs!$B$3,{"weibull","lognormal","loglogistic"},0),Inputs!$D$7,Inputs!$D$9,Inputs!$D$11))/CHOOSE(MATCH(Inputs!$B$3,{"weibull","lognormal","loglogistic"},0),Inputs!$F$7,Inputs!$F$9,Inputs!$F$11),TRUE))))</f>
        <v/>
      </c>
      <c r="D248">
        <f>IF(B248=0,1,IF(Inputs!$B$3="weibull",EXP(-(B248/CHOOSE(MATCH(Inputs!$B$3,{"weibull","lognormal","loglogistic"},0),Inputs!$F$8,Inputs!$F$10,Inputs!$F$12))^CHOOSE(MATCH(Inputs!$B$3,{"weibull","lognormal","loglogistic"},0),Inputs!$D$8,Inputs!$D$10,Inputs!$D$12)),IF(Inputs!$B$3="loglogistic",1/(1+(B248/CHOOSE(MATCH(Inputs!$B$3,{"weibull","lognormal","loglogistic"},0),Inputs!$F$8,Inputs!$F$10,Inputs!$F$12))^CHOOSE(MATCH(Inputs!$B$3,{"weibull","lognormal","loglogistic"},0),Inputs!$D$8,Inputs!$D$10,Inputs!$D$12)),1-NORM.S.DIST((LN(B248)-CHOOSE(MATCH(Inputs!$B$3,{"weibull","lognormal","loglogistic"},0),Inputs!$D$8,Inputs!$D$10,Inputs!$D$12))/CHOOSE(MATCH(Inputs!$B$3,{"weibull","lognormal","loglogistic"},0),Inputs!$F$8,Inputs!$F$10,Inputs!$F$12),TRUE))))</f>
        <v/>
      </c>
      <c r="E248">
        <f>(C247+C248)/2/12</f>
        <v/>
      </c>
      <c r="F248">
        <f>(D247+D248)/2/12</f>
        <v/>
      </c>
    </row>
    <row r="249">
      <c r="A249" t="n">
        <v>247</v>
      </c>
      <c r="B249">
        <f>A249/12</f>
        <v/>
      </c>
      <c r="C249">
        <f>IF(B249=0,1,IF(Inputs!$B$3="weibull",EXP(-(B249/CHOOSE(MATCH(Inputs!$B$3,{"weibull","lognormal","loglogistic"},0),Inputs!$F$7,Inputs!$F$9,Inputs!$F$11))^CHOOSE(MATCH(Inputs!$B$3,{"weibull","lognormal","loglogistic"},0),Inputs!$D$7,Inputs!$D$9,Inputs!$D$11)),IF(Inputs!$B$3="loglogistic",1/(1+(B249/CHOOSE(MATCH(Inputs!$B$3,{"weibull","lognormal","loglogistic"},0),Inputs!$F$7,Inputs!$F$9,Inputs!$F$11))^CHOOSE(MATCH(Inputs!$B$3,{"weibull","lognormal","loglogistic"},0),Inputs!$D$7,Inputs!$D$9,Inputs!$D$11)),1-NORM.S.DIST((LN(B249)-CHOOSE(MATCH(Inputs!$B$3,{"weibull","lognormal","loglogistic"},0),Inputs!$D$7,Inputs!$D$9,Inputs!$D$11))/CHOOSE(MATCH(Inputs!$B$3,{"weibull","lognormal","loglogistic"},0),Inputs!$F$7,Inputs!$F$9,Inputs!$F$11),TRUE))))</f>
        <v/>
      </c>
      <c r="D249">
        <f>IF(B249=0,1,IF(Inputs!$B$3="weibull",EXP(-(B249/CHOOSE(MATCH(Inputs!$B$3,{"weibull","lognormal","loglogistic"},0),Inputs!$F$8,Inputs!$F$10,Inputs!$F$12))^CHOOSE(MATCH(Inputs!$B$3,{"weibull","lognormal","loglogistic"},0),Inputs!$D$8,Inputs!$D$10,Inputs!$D$12)),IF(Inputs!$B$3="loglogistic",1/(1+(B249/CHOOSE(MATCH(Inputs!$B$3,{"weibull","lognormal","loglogistic"},0),Inputs!$F$8,Inputs!$F$10,Inputs!$F$12))^CHOOSE(MATCH(Inputs!$B$3,{"weibull","lognormal","loglogistic"},0),Inputs!$D$8,Inputs!$D$10,Inputs!$D$12)),1-NORM.S.DIST((LN(B249)-CHOOSE(MATCH(Inputs!$B$3,{"weibull","lognormal","loglogistic"},0),Inputs!$D$8,Inputs!$D$10,Inputs!$D$12))/CHOOSE(MATCH(Inputs!$B$3,{"weibull","lognormal","loglogistic"},0),Inputs!$F$8,Inputs!$F$10,Inputs!$F$12),TRUE))))</f>
        <v/>
      </c>
      <c r="E249">
        <f>(C248+C249)/2/12</f>
        <v/>
      </c>
      <c r="F249">
        <f>(D248+D249)/2/12</f>
        <v/>
      </c>
    </row>
    <row r="250">
      <c r="A250" t="n">
        <v>248</v>
      </c>
      <c r="B250">
        <f>A250/12</f>
        <v/>
      </c>
      <c r="C250">
        <f>IF(B250=0,1,IF(Inputs!$B$3="weibull",EXP(-(B250/CHOOSE(MATCH(Inputs!$B$3,{"weibull","lognormal","loglogistic"},0),Inputs!$F$7,Inputs!$F$9,Inputs!$F$11))^CHOOSE(MATCH(Inputs!$B$3,{"weibull","lognormal","loglogistic"},0),Inputs!$D$7,Inputs!$D$9,Inputs!$D$11)),IF(Inputs!$B$3="loglogistic",1/(1+(B250/CHOOSE(MATCH(Inputs!$B$3,{"weibull","lognormal","loglogistic"},0),Inputs!$F$7,Inputs!$F$9,Inputs!$F$11))^CHOOSE(MATCH(Inputs!$B$3,{"weibull","lognormal","loglogistic"},0),Inputs!$D$7,Inputs!$D$9,Inputs!$D$11)),1-NORM.S.DIST((LN(B250)-CHOOSE(MATCH(Inputs!$B$3,{"weibull","lognormal","loglogistic"},0),Inputs!$D$7,Inputs!$D$9,Inputs!$D$11))/CHOOSE(MATCH(Inputs!$B$3,{"weibull","lognormal","loglogistic"},0),Inputs!$F$7,Inputs!$F$9,Inputs!$F$11),TRUE))))</f>
        <v/>
      </c>
      <c r="D250">
        <f>IF(B250=0,1,IF(Inputs!$B$3="weibull",EXP(-(B250/CHOOSE(MATCH(Inputs!$B$3,{"weibull","lognormal","loglogistic"},0),Inputs!$F$8,Inputs!$F$10,Inputs!$F$12))^CHOOSE(MATCH(Inputs!$B$3,{"weibull","lognormal","loglogistic"},0),Inputs!$D$8,Inputs!$D$10,Inputs!$D$12)),IF(Inputs!$B$3="loglogistic",1/(1+(B250/CHOOSE(MATCH(Inputs!$B$3,{"weibull","lognormal","loglogistic"},0),Inputs!$F$8,Inputs!$F$10,Inputs!$F$12))^CHOOSE(MATCH(Inputs!$B$3,{"weibull","lognormal","loglogistic"},0),Inputs!$D$8,Inputs!$D$10,Inputs!$D$12)),1-NORM.S.DIST((LN(B250)-CHOOSE(MATCH(Inputs!$B$3,{"weibull","lognormal","loglogistic"},0),Inputs!$D$8,Inputs!$D$10,Inputs!$D$12))/CHOOSE(MATCH(Inputs!$B$3,{"weibull","lognormal","loglogistic"},0),Inputs!$F$8,Inputs!$F$10,Inputs!$F$12),TRUE))))</f>
        <v/>
      </c>
      <c r="E250">
        <f>(C249+C250)/2/12</f>
        <v/>
      </c>
      <c r="F250">
        <f>(D249+D250)/2/12</f>
        <v/>
      </c>
    </row>
    <row r="251">
      <c r="A251" t="n">
        <v>249</v>
      </c>
      <c r="B251">
        <f>A251/12</f>
        <v/>
      </c>
      <c r="C251">
        <f>IF(B251=0,1,IF(Inputs!$B$3="weibull",EXP(-(B251/CHOOSE(MATCH(Inputs!$B$3,{"weibull","lognormal","loglogistic"},0),Inputs!$F$7,Inputs!$F$9,Inputs!$F$11))^CHOOSE(MATCH(Inputs!$B$3,{"weibull","lognormal","loglogistic"},0),Inputs!$D$7,Inputs!$D$9,Inputs!$D$11)),IF(Inputs!$B$3="loglogistic",1/(1+(B251/CHOOSE(MATCH(Inputs!$B$3,{"weibull","lognormal","loglogistic"},0),Inputs!$F$7,Inputs!$F$9,Inputs!$F$11))^CHOOSE(MATCH(Inputs!$B$3,{"weibull","lognormal","loglogistic"},0),Inputs!$D$7,Inputs!$D$9,Inputs!$D$11)),1-NORM.S.DIST((LN(B251)-CHOOSE(MATCH(Inputs!$B$3,{"weibull","lognormal","loglogistic"},0),Inputs!$D$7,Inputs!$D$9,Inputs!$D$11))/CHOOSE(MATCH(Inputs!$B$3,{"weibull","lognormal","loglogistic"},0),Inputs!$F$7,Inputs!$F$9,Inputs!$F$11),TRUE))))</f>
        <v/>
      </c>
      <c r="D251">
        <f>IF(B251=0,1,IF(Inputs!$B$3="weibull",EXP(-(B251/CHOOSE(MATCH(Inputs!$B$3,{"weibull","lognormal","loglogistic"},0),Inputs!$F$8,Inputs!$F$10,Inputs!$F$12))^CHOOSE(MATCH(Inputs!$B$3,{"weibull","lognormal","loglogistic"},0),Inputs!$D$8,Inputs!$D$10,Inputs!$D$12)),IF(Inputs!$B$3="loglogistic",1/(1+(B251/CHOOSE(MATCH(Inputs!$B$3,{"weibull","lognormal","loglogistic"},0),Inputs!$F$8,Inputs!$F$10,Inputs!$F$12))^CHOOSE(MATCH(Inputs!$B$3,{"weibull","lognormal","loglogistic"},0),Inputs!$D$8,Inputs!$D$10,Inputs!$D$12)),1-NORM.S.DIST((LN(B251)-CHOOSE(MATCH(Inputs!$B$3,{"weibull","lognormal","loglogistic"},0),Inputs!$D$8,Inputs!$D$10,Inputs!$D$12))/CHOOSE(MATCH(Inputs!$B$3,{"weibull","lognormal","loglogistic"},0),Inputs!$F$8,Inputs!$F$10,Inputs!$F$12),TRUE))))</f>
        <v/>
      </c>
      <c r="E251">
        <f>(C250+C251)/2/12</f>
        <v/>
      </c>
      <c r="F251">
        <f>(D250+D251)/2/12</f>
        <v/>
      </c>
    </row>
    <row r="252">
      <c r="A252" t="n">
        <v>250</v>
      </c>
      <c r="B252">
        <f>A252/12</f>
        <v/>
      </c>
      <c r="C252">
        <f>IF(B252=0,1,IF(Inputs!$B$3="weibull",EXP(-(B252/CHOOSE(MATCH(Inputs!$B$3,{"weibull","lognormal","loglogistic"},0),Inputs!$F$7,Inputs!$F$9,Inputs!$F$11))^CHOOSE(MATCH(Inputs!$B$3,{"weibull","lognormal","loglogistic"},0),Inputs!$D$7,Inputs!$D$9,Inputs!$D$11)),IF(Inputs!$B$3="loglogistic",1/(1+(B252/CHOOSE(MATCH(Inputs!$B$3,{"weibull","lognormal","loglogistic"},0),Inputs!$F$7,Inputs!$F$9,Inputs!$F$11))^CHOOSE(MATCH(Inputs!$B$3,{"weibull","lognormal","loglogistic"},0),Inputs!$D$7,Inputs!$D$9,Inputs!$D$11)),1-NORM.S.DIST((LN(B252)-CHOOSE(MATCH(Inputs!$B$3,{"weibull","lognormal","loglogistic"},0),Inputs!$D$7,Inputs!$D$9,Inputs!$D$11))/CHOOSE(MATCH(Inputs!$B$3,{"weibull","lognormal","loglogistic"},0),Inputs!$F$7,Inputs!$F$9,Inputs!$F$11),TRUE))))</f>
        <v/>
      </c>
      <c r="D252">
        <f>IF(B252=0,1,IF(Inputs!$B$3="weibull",EXP(-(B252/CHOOSE(MATCH(Inputs!$B$3,{"weibull","lognormal","loglogistic"},0),Inputs!$F$8,Inputs!$F$10,Inputs!$F$12))^CHOOSE(MATCH(Inputs!$B$3,{"weibull","lognormal","loglogistic"},0),Inputs!$D$8,Inputs!$D$10,Inputs!$D$12)),IF(Inputs!$B$3="loglogistic",1/(1+(B252/CHOOSE(MATCH(Inputs!$B$3,{"weibull","lognormal","loglogistic"},0),Inputs!$F$8,Inputs!$F$10,Inputs!$F$12))^CHOOSE(MATCH(Inputs!$B$3,{"weibull","lognormal","loglogistic"},0),Inputs!$D$8,Inputs!$D$10,Inputs!$D$12)),1-NORM.S.DIST((LN(B252)-CHOOSE(MATCH(Inputs!$B$3,{"weibull","lognormal","loglogistic"},0),Inputs!$D$8,Inputs!$D$10,Inputs!$D$12))/CHOOSE(MATCH(Inputs!$B$3,{"weibull","lognormal","loglogistic"},0),Inputs!$F$8,Inputs!$F$10,Inputs!$F$12),TRUE))))</f>
        <v/>
      </c>
      <c r="E252">
        <f>(C251+C252)/2/12</f>
        <v/>
      </c>
      <c r="F252">
        <f>(D251+D252)/2/12</f>
        <v/>
      </c>
    </row>
    <row r="253">
      <c r="A253" t="n">
        <v>251</v>
      </c>
      <c r="B253">
        <f>A253/12</f>
        <v/>
      </c>
      <c r="C253">
        <f>IF(B253=0,1,IF(Inputs!$B$3="weibull",EXP(-(B253/CHOOSE(MATCH(Inputs!$B$3,{"weibull","lognormal","loglogistic"},0),Inputs!$F$7,Inputs!$F$9,Inputs!$F$11))^CHOOSE(MATCH(Inputs!$B$3,{"weibull","lognormal","loglogistic"},0),Inputs!$D$7,Inputs!$D$9,Inputs!$D$11)),IF(Inputs!$B$3="loglogistic",1/(1+(B253/CHOOSE(MATCH(Inputs!$B$3,{"weibull","lognormal","loglogistic"},0),Inputs!$F$7,Inputs!$F$9,Inputs!$F$11))^CHOOSE(MATCH(Inputs!$B$3,{"weibull","lognormal","loglogistic"},0),Inputs!$D$7,Inputs!$D$9,Inputs!$D$11)),1-NORM.S.DIST((LN(B253)-CHOOSE(MATCH(Inputs!$B$3,{"weibull","lognormal","loglogistic"},0),Inputs!$D$7,Inputs!$D$9,Inputs!$D$11))/CHOOSE(MATCH(Inputs!$B$3,{"weibull","lognormal","loglogistic"},0),Inputs!$F$7,Inputs!$F$9,Inputs!$F$11),TRUE))))</f>
        <v/>
      </c>
      <c r="D253">
        <f>IF(B253=0,1,IF(Inputs!$B$3="weibull",EXP(-(B253/CHOOSE(MATCH(Inputs!$B$3,{"weibull","lognormal","loglogistic"},0),Inputs!$F$8,Inputs!$F$10,Inputs!$F$12))^CHOOSE(MATCH(Inputs!$B$3,{"weibull","lognormal","loglogistic"},0),Inputs!$D$8,Inputs!$D$10,Inputs!$D$12)),IF(Inputs!$B$3="loglogistic",1/(1+(B253/CHOOSE(MATCH(Inputs!$B$3,{"weibull","lognormal","loglogistic"},0),Inputs!$F$8,Inputs!$F$10,Inputs!$F$12))^CHOOSE(MATCH(Inputs!$B$3,{"weibull","lognormal","loglogistic"},0),Inputs!$D$8,Inputs!$D$10,Inputs!$D$12)),1-NORM.S.DIST((LN(B253)-CHOOSE(MATCH(Inputs!$B$3,{"weibull","lognormal","loglogistic"},0),Inputs!$D$8,Inputs!$D$10,Inputs!$D$12))/CHOOSE(MATCH(Inputs!$B$3,{"weibull","lognormal","loglogistic"},0),Inputs!$F$8,Inputs!$F$10,Inputs!$F$12),TRUE))))</f>
        <v/>
      </c>
      <c r="E253">
        <f>(C252+C253)/2/12</f>
        <v/>
      </c>
      <c r="F253">
        <f>(D252+D253)/2/12</f>
        <v/>
      </c>
    </row>
    <row r="254">
      <c r="A254" t="n">
        <v>252</v>
      </c>
      <c r="B254">
        <f>A254/12</f>
        <v/>
      </c>
      <c r="C254">
        <f>IF(B254=0,1,IF(Inputs!$B$3="weibull",EXP(-(B254/CHOOSE(MATCH(Inputs!$B$3,{"weibull","lognormal","loglogistic"},0),Inputs!$F$7,Inputs!$F$9,Inputs!$F$11))^CHOOSE(MATCH(Inputs!$B$3,{"weibull","lognormal","loglogistic"},0),Inputs!$D$7,Inputs!$D$9,Inputs!$D$11)),IF(Inputs!$B$3="loglogistic",1/(1+(B254/CHOOSE(MATCH(Inputs!$B$3,{"weibull","lognormal","loglogistic"},0),Inputs!$F$7,Inputs!$F$9,Inputs!$F$11))^CHOOSE(MATCH(Inputs!$B$3,{"weibull","lognormal","loglogistic"},0),Inputs!$D$7,Inputs!$D$9,Inputs!$D$11)),1-NORM.S.DIST((LN(B254)-CHOOSE(MATCH(Inputs!$B$3,{"weibull","lognormal","loglogistic"},0),Inputs!$D$7,Inputs!$D$9,Inputs!$D$11))/CHOOSE(MATCH(Inputs!$B$3,{"weibull","lognormal","loglogistic"},0),Inputs!$F$7,Inputs!$F$9,Inputs!$F$11),TRUE))))</f>
        <v/>
      </c>
      <c r="D254">
        <f>IF(B254=0,1,IF(Inputs!$B$3="weibull",EXP(-(B254/CHOOSE(MATCH(Inputs!$B$3,{"weibull","lognormal","loglogistic"},0),Inputs!$F$8,Inputs!$F$10,Inputs!$F$12))^CHOOSE(MATCH(Inputs!$B$3,{"weibull","lognormal","loglogistic"},0),Inputs!$D$8,Inputs!$D$10,Inputs!$D$12)),IF(Inputs!$B$3="loglogistic",1/(1+(B254/CHOOSE(MATCH(Inputs!$B$3,{"weibull","lognormal","loglogistic"},0),Inputs!$F$8,Inputs!$F$10,Inputs!$F$12))^CHOOSE(MATCH(Inputs!$B$3,{"weibull","lognormal","loglogistic"},0),Inputs!$D$8,Inputs!$D$10,Inputs!$D$12)),1-NORM.S.DIST((LN(B254)-CHOOSE(MATCH(Inputs!$B$3,{"weibull","lognormal","loglogistic"},0),Inputs!$D$8,Inputs!$D$10,Inputs!$D$12))/CHOOSE(MATCH(Inputs!$B$3,{"weibull","lognormal","loglogistic"},0),Inputs!$F$8,Inputs!$F$10,Inputs!$F$12),TRUE))))</f>
        <v/>
      </c>
      <c r="E254">
        <f>(C253+C254)/2/12</f>
        <v/>
      </c>
      <c r="F254">
        <f>(D253+D254)/2/12</f>
        <v/>
      </c>
    </row>
    <row r="255">
      <c r="A255" t="n">
        <v>253</v>
      </c>
      <c r="B255">
        <f>A255/12</f>
        <v/>
      </c>
      <c r="C255">
        <f>IF(B255=0,1,IF(Inputs!$B$3="weibull",EXP(-(B255/CHOOSE(MATCH(Inputs!$B$3,{"weibull","lognormal","loglogistic"},0),Inputs!$F$7,Inputs!$F$9,Inputs!$F$11))^CHOOSE(MATCH(Inputs!$B$3,{"weibull","lognormal","loglogistic"},0),Inputs!$D$7,Inputs!$D$9,Inputs!$D$11)),IF(Inputs!$B$3="loglogistic",1/(1+(B255/CHOOSE(MATCH(Inputs!$B$3,{"weibull","lognormal","loglogistic"},0),Inputs!$F$7,Inputs!$F$9,Inputs!$F$11))^CHOOSE(MATCH(Inputs!$B$3,{"weibull","lognormal","loglogistic"},0),Inputs!$D$7,Inputs!$D$9,Inputs!$D$11)),1-NORM.S.DIST((LN(B255)-CHOOSE(MATCH(Inputs!$B$3,{"weibull","lognormal","loglogistic"},0),Inputs!$D$7,Inputs!$D$9,Inputs!$D$11))/CHOOSE(MATCH(Inputs!$B$3,{"weibull","lognormal","loglogistic"},0),Inputs!$F$7,Inputs!$F$9,Inputs!$F$11),TRUE))))</f>
        <v/>
      </c>
      <c r="D255">
        <f>IF(B255=0,1,IF(Inputs!$B$3="weibull",EXP(-(B255/CHOOSE(MATCH(Inputs!$B$3,{"weibull","lognormal","loglogistic"},0),Inputs!$F$8,Inputs!$F$10,Inputs!$F$12))^CHOOSE(MATCH(Inputs!$B$3,{"weibull","lognormal","loglogistic"},0),Inputs!$D$8,Inputs!$D$10,Inputs!$D$12)),IF(Inputs!$B$3="loglogistic",1/(1+(B255/CHOOSE(MATCH(Inputs!$B$3,{"weibull","lognormal","loglogistic"},0),Inputs!$F$8,Inputs!$F$10,Inputs!$F$12))^CHOOSE(MATCH(Inputs!$B$3,{"weibull","lognormal","loglogistic"},0),Inputs!$D$8,Inputs!$D$10,Inputs!$D$12)),1-NORM.S.DIST((LN(B255)-CHOOSE(MATCH(Inputs!$B$3,{"weibull","lognormal","loglogistic"},0),Inputs!$D$8,Inputs!$D$10,Inputs!$D$12))/CHOOSE(MATCH(Inputs!$B$3,{"weibull","lognormal","loglogistic"},0),Inputs!$F$8,Inputs!$F$10,Inputs!$F$12),TRUE))))</f>
        <v/>
      </c>
      <c r="E255">
        <f>(C254+C255)/2/12</f>
        <v/>
      </c>
      <c r="F255">
        <f>(D254+D255)/2/12</f>
        <v/>
      </c>
    </row>
    <row r="256">
      <c r="A256" t="n">
        <v>254</v>
      </c>
      <c r="B256">
        <f>A256/12</f>
        <v/>
      </c>
      <c r="C256">
        <f>IF(B256=0,1,IF(Inputs!$B$3="weibull",EXP(-(B256/CHOOSE(MATCH(Inputs!$B$3,{"weibull","lognormal","loglogistic"},0),Inputs!$F$7,Inputs!$F$9,Inputs!$F$11))^CHOOSE(MATCH(Inputs!$B$3,{"weibull","lognormal","loglogistic"},0),Inputs!$D$7,Inputs!$D$9,Inputs!$D$11)),IF(Inputs!$B$3="loglogistic",1/(1+(B256/CHOOSE(MATCH(Inputs!$B$3,{"weibull","lognormal","loglogistic"},0),Inputs!$F$7,Inputs!$F$9,Inputs!$F$11))^CHOOSE(MATCH(Inputs!$B$3,{"weibull","lognormal","loglogistic"},0),Inputs!$D$7,Inputs!$D$9,Inputs!$D$11)),1-NORM.S.DIST((LN(B256)-CHOOSE(MATCH(Inputs!$B$3,{"weibull","lognormal","loglogistic"},0),Inputs!$D$7,Inputs!$D$9,Inputs!$D$11))/CHOOSE(MATCH(Inputs!$B$3,{"weibull","lognormal","loglogistic"},0),Inputs!$F$7,Inputs!$F$9,Inputs!$F$11),TRUE))))</f>
        <v/>
      </c>
      <c r="D256">
        <f>IF(B256=0,1,IF(Inputs!$B$3="weibull",EXP(-(B256/CHOOSE(MATCH(Inputs!$B$3,{"weibull","lognormal","loglogistic"},0),Inputs!$F$8,Inputs!$F$10,Inputs!$F$12))^CHOOSE(MATCH(Inputs!$B$3,{"weibull","lognormal","loglogistic"},0),Inputs!$D$8,Inputs!$D$10,Inputs!$D$12)),IF(Inputs!$B$3="loglogistic",1/(1+(B256/CHOOSE(MATCH(Inputs!$B$3,{"weibull","lognormal","loglogistic"},0),Inputs!$F$8,Inputs!$F$10,Inputs!$F$12))^CHOOSE(MATCH(Inputs!$B$3,{"weibull","lognormal","loglogistic"},0),Inputs!$D$8,Inputs!$D$10,Inputs!$D$12)),1-NORM.S.DIST((LN(B256)-CHOOSE(MATCH(Inputs!$B$3,{"weibull","lognormal","loglogistic"},0),Inputs!$D$8,Inputs!$D$10,Inputs!$D$12))/CHOOSE(MATCH(Inputs!$B$3,{"weibull","lognormal","loglogistic"},0),Inputs!$F$8,Inputs!$F$10,Inputs!$F$12),TRUE))))</f>
        <v/>
      </c>
      <c r="E256">
        <f>(C255+C256)/2/12</f>
        <v/>
      </c>
      <c r="F256">
        <f>(D255+D256)/2/12</f>
        <v/>
      </c>
    </row>
    <row r="257">
      <c r="A257" t="n">
        <v>255</v>
      </c>
      <c r="B257">
        <f>A257/12</f>
        <v/>
      </c>
      <c r="C257">
        <f>IF(B257=0,1,IF(Inputs!$B$3="weibull",EXP(-(B257/CHOOSE(MATCH(Inputs!$B$3,{"weibull","lognormal","loglogistic"},0),Inputs!$F$7,Inputs!$F$9,Inputs!$F$11))^CHOOSE(MATCH(Inputs!$B$3,{"weibull","lognormal","loglogistic"},0),Inputs!$D$7,Inputs!$D$9,Inputs!$D$11)),IF(Inputs!$B$3="loglogistic",1/(1+(B257/CHOOSE(MATCH(Inputs!$B$3,{"weibull","lognormal","loglogistic"},0),Inputs!$F$7,Inputs!$F$9,Inputs!$F$11))^CHOOSE(MATCH(Inputs!$B$3,{"weibull","lognormal","loglogistic"},0),Inputs!$D$7,Inputs!$D$9,Inputs!$D$11)),1-NORM.S.DIST((LN(B257)-CHOOSE(MATCH(Inputs!$B$3,{"weibull","lognormal","loglogistic"},0),Inputs!$D$7,Inputs!$D$9,Inputs!$D$11))/CHOOSE(MATCH(Inputs!$B$3,{"weibull","lognormal","loglogistic"},0),Inputs!$F$7,Inputs!$F$9,Inputs!$F$11),TRUE))))</f>
        <v/>
      </c>
      <c r="D257">
        <f>IF(B257=0,1,IF(Inputs!$B$3="weibull",EXP(-(B257/CHOOSE(MATCH(Inputs!$B$3,{"weibull","lognormal","loglogistic"},0),Inputs!$F$8,Inputs!$F$10,Inputs!$F$12))^CHOOSE(MATCH(Inputs!$B$3,{"weibull","lognormal","loglogistic"},0),Inputs!$D$8,Inputs!$D$10,Inputs!$D$12)),IF(Inputs!$B$3="loglogistic",1/(1+(B257/CHOOSE(MATCH(Inputs!$B$3,{"weibull","lognormal","loglogistic"},0),Inputs!$F$8,Inputs!$F$10,Inputs!$F$12))^CHOOSE(MATCH(Inputs!$B$3,{"weibull","lognormal","loglogistic"},0),Inputs!$D$8,Inputs!$D$10,Inputs!$D$12)),1-NORM.S.DIST((LN(B257)-CHOOSE(MATCH(Inputs!$B$3,{"weibull","lognormal","loglogistic"},0),Inputs!$D$8,Inputs!$D$10,Inputs!$D$12))/CHOOSE(MATCH(Inputs!$B$3,{"weibull","lognormal","loglogistic"},0),Inputs!$F$8,Inputs!$F$10,Inputs!$F$12),TRUE))))</f>
        <v/>
      </c>
      <c r="E257">
        <f>(C256+C257)/2/12</f>
        <v/>
      </c>
      <c r="F257">
        <f>(D256+D257)/2/12</f>
        <v/>
      </c>
    </row>
    <row r="258">
      <c r="A258" t="n">
        <v>256</v>
      </c>
      <c r="B258">
        <f>A258/12</f>
        <v/>
      </c>
      <c r="C258">
        <f>IF(B258=0,1,IF(Inputs!$B$3="weibull",EXP(-(B258/CHOOSE(MATCH(Inputs!$B$3,{"weibull","lognormal","loglogistic"},0),Inputs!$F$7,Inputs!$F$9,Inputs!$F$11))^CHOOSE(MATCH(Inputs!$B$3,{"weibull","lognormal","loglogistic"},0),Inputs!$D$7,Inputs!$D$9,Inputs!$D$11)),IF(Inputs!$B$3="loglogistic",1/(1+(B258/CHOOSE(MATCH(Inputs!$B$3,{"weibull","lognormal","loglogistic"},0),Inputs!$F$7,Inputs!$F$9,Inputs!$F$11))^CHOOSE(MATCH(Inputs!$B$3,{"weibull","lognormal","loglogistic"},0),Inputs!$D$7,Inputs!$D$9,Inputs!$D$11)),1-NORM.S.DIST((LN(B258)-CHOOSE(MATCH(Inputs!$B$3,{"weibull","lognormal","loglogistic"},0),Inputs!$D$7,Inputs!$D$9,Inputs!$D$11))/CHOOSE(MATCH(Inputs!$B$3,{"weibull","lognormal","loglogistic"},0),Inputs!$F$7,Inputs!$F$9,Inputs!$F$11),TRUE))))</f>
        <v/>
      </c>
      <c r="D258">
        <f>IF(B258=0,1,IF(Inputs!$B$3="weibull",EXP(-(B258/CHOOSE(MATCH(Inputs!$B$3,{"weibull","lognormal","loglogistic"},0),Inputs!$F$8,Inputs!$F$10,Inputs!$F$12))^CHOOSE(MATCH(Inputs!$B$3,{"weibull","lognormal","loglogistic"},0),Inputs!$D$8,Inputs!$D$10,Inputs!$D$12)),IF(Inputs!$B$3="loglogistic",1/(1+(B258/CHOOSE(MATCH(Inputs!$B$3,{"weibull","lognormal","loglogistic"},0),Inputs!$F$8,Inputs!$F$10,Inputs!$F$12))^CHOOSE(MATCH(Inputs!$B$3,{"weibull","lognormal","loglogistic"},0),Inputs!$D$8,Inputs!$D$10,Inputs!$D$12)),1-NORM.S.DIST((LN(B258)-CHOOSE(MATCH(Inputs!$B$3,{"weibull","lognormal","loglogistic"},0),Inputs!$D$8,Inputs!$D$10,Inputs!$D$12))/CHOOSE(MATCH(Inputs!$B$3,{"weibull","lognormal","loglogistic"},0),Inputs!$F$8,Inputs!$F$10,Inputs!$F$12),TRUE))))</f>
        <v/>
      </c>
      <c r="E258">
        <f>(C257+C258)/2/12</f>
        <v/>
      </c>
      <c r="F258">
        <f>(D257+D258)/2/12</f>
        <v/>
      </c>
    </row>
    <row r="259">
      <c r="A259" t="n">
        <v>257</v>
      </c>
      <c r="B259">
        <f>A259/12</f>
        <v/>
      </c>
      <c r="C259">
        <f>IF(B259=0,1,IF(Inputs!$B$3="weibull",EXP(-(B259/CHOOSE(MATCH(Inputs!$B$3,{"weibull","lognormal","loglogistic"},0),Inputs!$F$7,Inputs!$F$9,Inputs!$F$11))^CHOOSE(MATCH(Inputs!$B$3,{"weibull","lognormal","loglogistic"},0),Inputs!$D$7,Inputs!$D$9,Inputs!$D$11)),IF(Inputs!$B$3="loglogistic",1/(1+(B259/CHOOSE(MATCH(Inputs!$B$3,{"weibull","lognormal","loglogistic"},0),Inputs!$F$7,Inputs!$F$9,Inputs!$F$11))^CHOOSE(MATCH(Inputs!$B$3,{"weibull","lognormal","loglogistic"},0),Inputs!$D$7,Inputs!$D$9,Inputs!$D$11)),1-NORM.S.DIST((LN(B259)-CHOOSE(MATCH(Inputs!$B$3,{"weibull","lognormal","loglogistic"},0),Inputs!$D$7,Inputs!$D$9,Inputs!$D$11))/CHOOSE(MATCH(Inputs!$B$3,{"weibull","lognormal","loglogistic"},0),Inputs!$F$7,Inputs!$F$9,Inputs!$F$11),TRUE))))</f>
        <v/>
      </c>
      <c r="D259">
        <f>IF(B259=0,1,IF(Inputs!$B$3="weibull",EXP(-(B259/CHOOSE(MATCH(Inputs!$B$3,{"weibull","lognormal","loglogistic"},0),Inputs!$F$8,Inputs!$F$10,Inputs!$F$12))^CHOOSE(MATCH(Inputs!$B$3,{"weibull","lognormal","loglogistic"},0),Inputs!$D$8,Inputs!$D$10,Inputs!$D$12)),IF(Inputs!$B$3="loglogistic",1/(1+(B259/CHOOSE(MATCH(Inputs!$B$3,{"weibull","lognormal","loglogistic"},0),Inputs!$F$8,Inputs!$F$10,Inputs!$F$12))^CHOOSE(MATCH(Inputs!$B$3,{"weibull","lognormal","loglogistic"},0),Inputs!$D$8,Inputs!$D$10,Inputs!$D$12)),1-NORM.S.DIST((LN(B259)-CHOOSE(MATCH(Inputs!$B$3,{"weibull","lognormal","loglogistic"},0),Inputs!$D$8,Inputs!$D$10,Inputs!$D$12))/CHOOSE(MATCH(Inputs!$B$3,{"weibull","lognormal","loglogistic"},0),Inputs!$F$8,Inputs!$F$10,Inputs!$F$12),TRUE))))</f>
        <v/>
      </c>
      <c r="E259">
        <f>(C258+C259)/2/12</f>
        <v/>
      </c>
      <c r="F259">
        <f>(D258+D259)/2/12</f>
        <v/>
      </c>
    </row>
    <row r="260">
      <c r="A260" t="n">
        <v>258</v>
      </c>
      <c r="B260">
        <f>A260/12</f>
        <v/>
      </c>
      <c r="C260">
        <f>IF(B260=0,1,IF(Inputs!$B$3="weibull",EXP(-(B260/CHOOSE(MATCH(Inputs!$B$3,{"weibull","lognormal","loglogistic"},0),Inputs!$F$7,Inputs!$F$9,Inputs!$F$11))^CHOOSE(MATCH(Inputs!$B$3,{"weibull","lognormal","loglogistic"},0),Inputs!$D$7,Inputs!$D$9,Inputs!$D$11)),IF(Inputs!$B$3="loglogistic",1/(1+(B260/CHOOSE(MATCH(Inputs!$B$3,{"weibull","lognormal","loglogistic"},0),Inputs!$F$7,Inputs!$F$9,Inputs!$F$11))^CHOOSE(MATCH(Inputs!$B$3,{"weibull","lognormal","loglogistic"},0),Inputs!$D$7,Inputs!$D$9,Inputs!$D$11)),1-NORM.S.DIST((LN(B260)-CHOOSE(MATCH(Inputs!$B$3,{"weibull","lognormal","loglogistic"},0),Inputs!$D$7,Inputs!$D$9,Inputs!$D$11))/CHOOSE(MATCH(Inputs!$B$3,{"weibull","lognormal","loglogistic"},0),Inputs!$F$7,Inputs!$F$9,Inputs!$F$11),TRUE))))</f>
        <v/>
      </c>
      <c r="D260">
        <f>IF(B260=0,1,IF(Inputs!$B$3="weibull",EXP(-(B260/CHOOSE(MATCH(Inputs!$B$3,{"weibull","lognormal","loglogistic"},0),Inputs!$F$8,Inputs!$F$10,Inputs!$F$12))^CHOOSE(MATCH(Inputs!$B$3,{"weibull","lognormal","loglogistic"},0),Inputs!$D$8,Inputs!$D$10,Inputs!$D$12)),IF(Inputs!$B$3="loglogistic",1/(1+(B260/CHOOSE(MATCH(Inputs!$B$3,{"weibull","lognormal","loglogistic"},0),Inputs!$F$8,Inputs!$F$10,Inputs!$F$12))^CHOOSE(MATCH(Inputs!$B$3,{"weibull","lognormal","loglogistic"},0),Inputs!$D$8,Inputs!$D$10,Inputs!$D$12)),1-NORM.S.DIST((LN(B260)-CHOOSE(MATCH(Inputs!$B$3,{"weibull","lognormal","loglogistic"},0),Inputs!$D$8,Inputs!$D$10,Inputs!$D$12))/CHOOSE(MATCH(Inputs!$B$3,{"weibull","lognormal","loglogistic"},0),Inputs!$F$8,Inputs!$F$10,Inputs!$F$12),TRUE))))</f>
        <v/>
      </c>
      <c r="E260">
        <f>(C259+C260)/2/12</f>
        <v/>
      </c>
      <c r="F260">
        <f>(D259+D260)/2/12</f>
        <v/>
      </c>
    </row>
    <row r="261">
      <c r="A261" t="n">
        <v>259</v>
      </c>
      <c r="B261">
        <f>A261/12</f>
        <v/>
      </c>
      <c r="C261">
        <f>IF(B261=0,1,IF(Inputs!$B$3="weibull",EXP(-(B261/CHOOSE(MATCH(Inputs!$B$3,{"weibull","lognormal","loglogistic"},0),Inputs!$F$7,Inputs!$F$9,Inputs!$F$11))^CHOOSE(MATCH(Inputs!$B$3,{"weibull","lognormal","loglogistic"},0),Inputs!$D$7,Inputs!$D$9,Inputs!$D$11)),IF(Inputs!$B$3="loglogistic",1/(1+(B261/CHOOSE(MATCH(Inputs!$B$3,{"weibull","lognormal","loglogistic"},0),Inputs!$F$7,Inputs!$F$9,Inputs!$F$11))^CHOOSE(MATCH(Inputs!$B$3,{"weibull","lognormal","loglogistic"},0),Inputs!$D$7,Inputs!$D$9,Inputs!$D$11)),1-NORM.S.DIST((LN(B261)-CHOOSE(MATCH(Inputs!$B$3,{"weibull","lognormal","loglogistic"},0),Inputs!$D$7,Inputs!$D$9,Inputs!$D$11))/CHOOSE(MATCH(Inputs!$B$3,{"weibull","lognormal","loglogistic"},0),Inputs!$F$7,Inputs!$F$9,Inputs!$F$11),TRUE))))</f>
        <v/>
      </c>
      <c r="D261">
        <f>IF(B261=0,1,IF(Inputs!$B$3="weibull",EXP(-(B261/CHOOSE(MATCH(Inputs!$B$3,{"weibull","lognormal","loglogistic"},0),Inputs!$F$8,Inputs!$F$10,Inputs!$F$12))^CHOOSE(MATCH(Inputs!$B$3,{"weibull","lognormal","loglogistic"},0),Inputs!$D$8,Inputs!$D$10,Inputs!$D$12)),IF(Inputs!$B$3="loglogistic",1/(1+(B261/CHOOSE(MATCH(Inputs!$B$3,{"weibull","lognormal","loglogistic"},0),Inputs!$F$8,Inputs!$F$10,Inputs!$F$12))^CHOOSE(MATCH(Inputs!$B$3,{"weibull","lognormal","loglogistic"},0),Inputs!$D$8,Inputs!$D$10,Inputs!$D$12)),1-NORM.S.DIST((LN(B261)-CHOOSE(MATCH(Inputs!$B$3,{"weibull","lognormal","loglogistic"},0),Inputs!$D$8,Inputs!$D$10,Inputs!$D$12))/CHOOSE(MATCH(Inputs!$B$3,{"weibull","lognormal","loglogistic"},0),Inputs!$F$8,Inputs!$F$10,Inputs!$F$12),TRUE))))</f>
        <v/>
      </c>
      <c r="E261">
        <f>(C260+C261)/2/12</f>
        <v/>
      </c>
      <c r="F261">
        <f>(D260+D261)/2/12</f>
        <v/>
      </c>
    </row>
    <row r="262">
      <c r="A262" t="n">
        <v>260</v>
      </c>
      <c r="B262">
        <f>A262/12</f>
        <v/>
      </c>
      <c r="C262">
        <f>IF(B262=0,1,IF(Inputs!$B$3="weibull",EXP(-(B262/CHOOSE(MATCH(Inputs!$B$3,{"weibull","lognormal","loglogistic"},0),Inputs!$F$7,Inputs!$F$9,Inputs!$F$11))^CHOOSE(MATCH(Inputs!$B$3,{"weibull","lognormal","loglogistic"},0),Inputs!$D$7,Inputs!$D$9,Inputs!$D$11)),IF(Inputs!$B$3="loglogistic",1/(1+(B262/CHOOSE(MATCH(Inputs!$B$3,{"weibull","lognormal","loglogistic"},0),Inputs!$F$7,Inputs!$F$9,Inputs!$F$11))^CHOOSE(MATCH(Inputs!$B$3,{"weibull","lognormal","loglogistic"},0),Inputs!$D$7,Inputs!$D$9,Inputs!$D$11)),1-NORM.S.DIST((LN(B262)-CHOOSE(MATCH(Inputs!$B$3,{"weibull","lognormal","loglogistic"},0),Inputs!$D$7,Inputs!$D$9,Inputs!$D$11))/CHOOSE(MATCH(Inputs!$B$3,{"weibull","lognormal","loglogistic"},0),Inputs!$F$7,Inputs!$F$9,Inputs!$F$11),TRUE))))</f>
        <v/>
      </c>
      <c r="D262">
        <f>IF(B262=0,1,IF(Inputs!$B$3="weibull",EXP(-(B262/CHOOSE(MATCH(Inputs!$B$3,{"weibull","lognormal","loglogistic"},0),Inputs!$F$8,Inputs!$F$10,Inputs!$F$12))^CHOOSE(MATCH(Inputs!$B$3,{"weibull","lognormal","loglogistic"},0),Inputs!$D$8,Inputs!$D$10,Inputs!$D$12)),IF(Inputs!$B$3="loglogistic",1/(1+(B262/CHOOSE(MATCH(Inputs!$B$3,{"weibull","lognormal","loglogistic"},0),Inputs!$F$8,Inputs!$F$10,Inputs!$F$12))^CHOOSE(MATCH(Inputs!$B$3,{"weibull","lognormal","loglogistic"},0),Inputs!$D$8,Inputs!$D$10,Inputs!$D$12)),1-NORM.S.DIST((LN(B262)-CHOOSE(MATCH(Inputs!$B$3,{"weibull","lognormal","loglogistic"},0),Inputs!$D$8,Inputs!$D$10,Inputs!$D$12))/CHOOSE(MATCH(Inputs!$B$3,{"weibull","lognormal","loglogistic"},0),Inputs!$F$8,Inputs!$F$10,Inputs!$F$12),TRUE))))</f>
        <v/>
      </c>
      <c r="E262">
        <f>(C261+C262)/2/12</f>
        <v/>
      </c>
      <c r="F262">
        <f>(D261+D262)/2/12</f>
        <v/>
      </c>
    </row>
    <row r="263">
      <c r="A263" t="n">
        <v>261</v>
      </c>
      <c r="B263">
        <f>A263/12</f>
        <v/>
      </c>
      <c r="C263">
        <f>IF(B263=0,1,IF(Inputs!$B$3="weibull",EXP(-(B263/CHOOSE(MATCH(Inputs!$B$3,{"weibull","lognormal","loglogistic"},0),Inputs!$F$7,Inputs!$F$9,Inputs!$F$11))^CHOOSE(MATCH(Inputs!$B$3,{"weibull","lognormal","loglogistic"},0),Inputs!$D$7,Inputs!$D$9,Inputs!$D$11)),IF(Inputs!$B$3="loglogistic",1/(1+(B263/CHOOSE(MATCH(Inputs!$B$3,{"weibull","lognormal","loglogistic"},0),Inputs!$F$7,Inputs!$F$9,Inputs!$F$11))^CHOOSE(MATCH(Inputs!$B$3,{"weibull","lognormal","loglogistic"},0),Inputs!$D$7,Inputs!$D$9,Inputs!$D$11)),1-NORM.S.DIST((LN(B263)-CHOOSE(MATCH(Inputs!$B$3,{"weibull","lognormal","loglogistic"},0),Inputs!$D$7,Inputs!$D$9,Inputs!$D$11))/CHOOSE(MATCH(Inputs!$B$3,{"weibull","lognormal","loglogistic"},0),Inputs!$F$7,Inputs!$F$9,Inputs!$F$11),TRUE))))</f>
        <v/>
      </c>
      <c r="D263">
        <f>IF(B263=0,1,IF(Inputs!$B$3="weibull",EXP(-(B263/CHOOSE(MATCH(Inputs!$B$3,{"weibull","lognormal","loglogistic"},0),Inputs!$F$8,Inputs!$F$10,Inputs!$F$12))^CHOOSE(MATCH(Inputs!$B$3,{"weibull","lognormal","loglogistic"},0),Inputs!$D$8,Inputs!$D$10,Inputs!$D$12)),IF(Inputs!$B$3="loglogistic",1/(1+(B263/CHOOSE(MATCH(Inputs!$B$3,{"weibull","lognormal","loglogistic"},0),Inputs!$F$8,Inputs!$F$10,Inputs!$F$12))^CHOOSE(MATCH(Inputs!$B$3,{"weibull","lognormal","loglogistic"},0),Inputs!$D$8,Inputs!$D$10,Inputs!$D$12)),1-NORM.S.DIST((LN(B263)-CHOOSE(MATCH(Inputs!$B$3,{"weibull","lognormal","loglogistic"},0),Inputs!$D$8,Inputs!$D$10,Inputs!$D$12))/CHOOSE(MATCH(Inputs!$B$3,{"weibull","lognormal","loglogistic"},0),Inputs!$F$8,Inputs!$F$10,Inputs!$F$12),TRUE))))</f>
        <v/>
      </c>
      <c r="E263">
        <f>(C262+C263)/2/12</f>
        <v/>
      </c>
      <c r="F263">
        <f>(D262+D263)/2/12</f>
        <v/>
      </c>
    </row>
    <row r="264">
      <c r="A264" t="n">
        <v>262</v>
      </c>
      <c r="B264">
        <f>A264/12</f>
        <v/>
      </c>
      <c r="C264">
        <f>IF(B264=0,1,IF(Inputs!$B$3="weibull",EXP(-(B264/CHOOSE(MATCH(Inputs!$B$3,{"weibull","lognormal","loglogistic"},0),Inputs!$F$7,Inputs!$F$9,Inputs!$F$11))^CHOOSE(MATCH(Inputs!$B$3,{"weibull","lognormal","loglogistic"},0),Inputs!$D$7,Inputs!$D$9,Inputs!$D$11)),IF(Inputs!$B$3="loglogistic",1/(1+(B264/CHOOSE(MATCH(Inputs!$B$3,{"weibull","lognormal","loglogistic"},0),Inputs!$F$7,Inputs!$F$9,Inputs!$F$11))^CHOOSE(MATCH(Inputs!$B$3,{"weibull","lognormal","loglogistic"},0),Inputs!$D$7,Inputs!$D$9,Inputs!$D$11)),1-NORM.S.DIST((LN(B264)-CHOOSE(MATCH(Inputs!$B$3,{"weibull","lognormal","loglogistic"},0),Inputs!$D$7,Inputs!$D$9,Inputs!$D$11))/CHOOSE(MATCH(Inputs!$B$3,{"weibull","lognormal","loglogistic"},0),Inputs!$F$7,Inputs!$F$9,Inputs!$F$11),TRUE))))</f>
        <v/>
      </c>
      <c r="D264">
        <f>IF(B264=0,1,IF(Inputs!$B$3="weibull",EXP(-(B264/CHOOSE(MATCH(Inputs!$B$3,{"weibull","lognormal","loglogistic"},0),Inputs!$F$8,Inputs!$F$10,Inputs!$F$12))^CHOOSE(MATCH(Inputs!$B$3,{"weibull","lognormal","loglogistic"},0),Inputs!$D$8,Inputs!$D$10,Inputs!$D$12)),IF(Inputs!$B$3="loglogistic",1/(1+(B264/CHOOSE(MATCH(Inputs!$B$3,{"weibull","lognormal","loglogistic"},0),Inputs!$F$8,Inputs!$F$10,Inputs!$F$12))^CHOOSE(MATCH(Inputs!$B$3,{"weibull","lognormal","loglogistic"},0),Inputs!$D$8,Inputs!$D$10,Inputs!$D$12)),1-NORM.S.DIST((LN(B264)-CHOOSE(MATCH(Inputs!$B$3,{"weibull","lognormal","loglogistic"},0),Inputs!$D$8,Inputs!$D$10,Inputs!$D$12))/CHOOSE(MATCH(Inputs!$B$3,{"weibull","lognormal","loglogistic"},0),Inputs!$F$8,Inputs!$F$10,Inputs!$F$12),TRUE))))</f>
        <v/>
      </c>
      <c r="E264">
        <f>(C263+C264)/2/12</f>
        <v/>
      </c>
      <c r="F264">
        <f>(D263+D264)/2/12</f>
        <v/>
      </c>
    </row>
    <row r="265">
      <c r="A265" t="n">
        <v>263</v>
      </c>
      <c r="B265">
        <f>A265/12</f>
        <v/>
      </c>
      <c r="C265">
        <f>IF(B265=0,1,IF(Inputs!$B$3="weibull",EXP(-(B265/CHOOSE(MATCH(Inputs!$B$3,{"weibull","lognormal","loglogistic"},0),Inputs!$F$7,Inputs!$F$9,Inputs!$F$11))^CHOOSE(MATCH(Inputs!$B$3,{"weibull","lognormal","loglogistic"},0),Inputs!$D$7,Inputs!$D$9,Inputs!$D$11)),IF(Inputs!$B$3="loglogistic",1/(1+(B265/CHOOSE(MATCH(Inputs!$B$3,{"weibull","lognormal","loglogistic"},0),Inputs!$F$7,Inputs!$F$9,Inputs!$F$11))^CHOOSE(MATCH(Inputs!$B$3,{"weibull","lognormal","loglogistic"},0),Inputs!$D$7,Inputs!$D$9,Inputs!$D$11)),1-NORM.S.DIST((LN(B265)-CHOOSE(MATCH(Inputs!$B$3,{"weibull","lognormal","loglogistic"},0),Inputs!$D$7,Inputs!$D$9,Inputs!$D$11))/CHOOSE(MATCH(Inputs!$B$3,{"weibull","lognormal","loglogistic"},0),Inputs!$F$7,Inputs!$F$9,Inputs!$F$11),TRUE))))</f>
        <v/>
      </c>
      <c r="D265">
        <f>IF(B265=0,1,IF(Inputs!$B$3="weibull",EXP(-(B265/CHOOSE(MATCH(Inputs!$B$3,{"weibull","lognormal","loglogistic"},0),Inputs!$F$8,Inputs!$F$10,Inputs!$F$12))^CHOOSE(MATCH(Inputs!$B$3,{"weibull","lognormal","loglogistic"},0),Inputs!$D$8,Inputs!$D$10,Inputs!$D$12)),IF(Inputs!$B$3="loglogistic",1/(1+(B265/CHOOSE(MATCH(Inputs!$B$3,{"weibull","lognormal","loglogistic"},0),Inputs!$F$8,Inputs!$F$10,Inputs!$F$12))^CHOOSE(MATCH(Inputs!$B$3,{"weibull","lognormal","loglogistic"},0),Inputs!$D$8,Inputs!$D$10,Inputs!$D$12)),1-NORM.S.DIST((LN(B265)-CHOOSE(MATCH(Inputs!$B$3,{"weibull","lognormal","loglogistic"},0),Inputs!$D$8,Inputs!$D$10,Inputs!$D$12))/CHOOSE(MATCH(Inputs!$B$3,{"weibull","lognormal","loglogistic"},0),Inputs!$F$8,Inputs!$F$10,Inputs!$F$12),TRUE))))</f>
        <v/>
      </c>
      <c r="E265">
        <f>(C264+C265)/2/12</f>
        <v/>
      </c>
      <c r="F265">
        <f>(D264+D265)/2/12</f>
        <v/>
      </c>
    </row>
    <row r="266">
      <c r="A266" t="n">
        <v>264</v>
      </c>
      <c r="B266">
        <f>A266/12</f>
        <v/>
      </c>
      <c r="C266">
        <f>IF(B266=0,1,IF(Inputs!$B$3="weibull",EXP(-(B266/CHOOSE(MATCH(Inputs!$B$3,{"weibull","lognormal","loglogistic"},0),Inputs!$F$7,Inputs!$F$9,Inputs!$F$11))^CHOOSE(MATCH(Inputs!$B$3,{"weibull","lognormal","loglogistic"},0),Inputs!$D$7,Inputs!$D$9,Inputs!$D$11)),IF(Inputs!$B$3="loglogistic",1/(1+(B266/CHOOSE(MATCH(Inputs!$B$3,{"weibull","lognormal","loglogistic"},0),Inputs!$F$7,Inputs!$F$9,Inputs!$F$11))^CHOOSE(MATCH(Inputs!$B$3,{"weibull","lognormal","loglogistic"},0),Inputs!$D$7,Inputs!$D$9,Inputs!$D$11)),1-NORM.S.DIST((LN(B266)-CHOOSE(MATCH(Inputs!$B$3,{"weibull","lognormal","loglogistic"},0),Inputs!$D$7,Inputs!$D$9,Inputs!$D$11))/CHOOSE(MATCH(Inputs!$B$3,{"weibull","lognormal","loglogistic"},0),Inputs!$F$7,Inputs!$F$9,Inputs!$F$11),TRUE))))</f>
        <v/>
      </c>
      <c r="D266">
        <f>IF(B266=0,1,IF(Inputs!$B$3="weibull",EXP(-(B266/CHOOSE(MATCH(Inputs!$B$3,{"weibull","lognormal","loglogistic"},0),Inputs!$F$8,Inputs!$F$10,Inputs!$F$12))^CHOOSE(MATCH(Inputs!$B$3,{"weibull","lognormal","loglogistic"},0),Inputs!$D$8,Inputs!$D$10,Inputs!$D$12)),IF(Inputs!$B$3="loglogistic",1/(1+(B266/CHOOSE(MATCH(Inputs!$B$3,{"weibull","lognormal","loglogistic"},0),Inputs!$F$8,Inputs!$F$10,Inputs!$F$12))^CHOOSE(MATCH(Inputs!$B$3,{"weibull","lognormal","loglogistic"},0),Inputs!$D$8,Inputs!$D$10,Inputs!$D$12)),1-NORM.S.DIST((LN(B266)-CHOOSE(MATCH(Inputs!$B$3,{"weibull","lognormal","loglogistic"},0),Inputs!$D$8,Inputs!$D$10,Inputs!$D$12))/CHOOSE(MATCH(Inputs!$B$3,{"weibull","lognormal","loglogistic"},0),Inputs!$F$8,Inputs!$F$10,Inputs!$F$12),TRUE))))</f>
        <v/>
      </c>
      <c r="E266">
        <f>(C265+C266)/2/12</f>
        <v/>
      </c>
      <c r="F266">
        <f>(D265+D266)/2/12</f>
        <v/>
      </c>
    </row>
    <row r="267">
      <c r="A267" t="n">
        <v>265</v>
      </c>
      <c r="B267">
        <f>A267/12</f>
        <v/>
      </c>
      <c r="C267">
        <f>IF(B267=0,1,IF(Inputs!$B$3="weibull",EXP(-(B267/CHOOSE(MATCH(Inputs!$B$3,{"weibull","lognormal","loglogistic"},0),Inputs!$F$7,Inputs!$F$9,Inputs!$F$11))^CHOOSE(MATCH(Inputs!$B$3,{"weibull","lognormal","loglogistic"},0),Inputs!$D$7,Inputs!$D$9,Inputs!$D$11)),IF(Inputs!$B$3="loglogistic",1/(1+(B267/CHOOSE(MATCH(Inputs!$B$3,{"weibull","lognormal","loglogistic"},0),Inputs!$F$7,Inputs!$F$9,Inputs!$F$11))^CHOOSE(MATCH(Inputs!$B$3,{"weibull","lognormal","loglogistic"},0),Inputs!$D$7,Inputs!$D$9,Inputs!$D$11)),1-NORM.S.DIST((LN(B267)-CHOOSE(MATCH(Inputs!$B$3,{"weibull","lognormal","loglogistic"},0),Inputs!$D$7,Inputs!$D$9,Inputs!$D$11))/CHOOSE(MATCH(Inputs!$B$3,{"weibull","lognormal","loglogistic"},0),Inputs!$F$7,Inputs!$F$9,Inputs!$F$11),TRUE))))</f>
        <v/>
      </c>
      <c r="D267">
        <f>IF(B267=0,1,IF(Inputs!$B$3="weibull",EXP(-(B267/CHOOSE(MATCH(Inputs!$B$3,{"weibull","lognormal","loglogistic"},0),Inputs!$F$8,Inputs!$F$10,Inputs!$F$12))^CHOOSE(MATCH(Inputs!$B$3,{"weibull","lognormal","loglogistic"},0),Inputs!$D$8,Inputs!$D$10,Inputs!$D$12)),IF(Inputs!$B$3="loglogistic",1/(1+(B267/CHOOSE(MATCH(Inputs!$B$3,{"weibull","lognormal","loglogistic"},0),Inputs!$F$8,Inputs!$F$10,Inputs!$F$12))^CHOOSE(MATCH(Inputs!$B$3,{"weibull","lognormal","loglogistic"},0),Inputs!$D$8,Inputs!$D$10,Inputs!$D$12)),1-NORM.S.DIST((LN(B267)-CHOOSE(MATCH(Inputs!$B$3,{"weibull","lognormal","loglogistic"},0),Inputs!$D$8,Inputs!$D$10,Inputs!$D$12))/CHOOSE(MATCH(Inputs!$B$3,{"weibull","lognormal","loglogistic"},0),Inputs!$F$8,Inputs!$F$10,Inputs!$F$12),TRUE))))</f>
        <v/>
      </c>
      <c r="E267">
        <f>(C266+C267)/2/12</f>
        <v/>
      </c>
      <c r="F267">
        <f>(D266+D267)/2/12</f>
        <v/>
      </c>
    </row>
    <row r="268">
      <c r="A268" t="n">
        <v>266</v>
      </c>
      <c r="B268">
        <f>A268/12</f>
        <v/>
      </c>
      <c r="C268">
        <f>IF(B268=0,1,IF(Inputs!$B$3="weibull",EXP(-(B268/CHOOSE(MATCH(Inputs!$B$3,{"weibull","lognormal","loglogistic"},0),Inputs!$F$7,Inputs!$F$9,Inputs!$F$11))^CHOOSE(MATCH(Inputs!$B$3,{"weibull","lognormal","loglogistic"},0),Inputs!$D$7,Inputs!$D$9,Inputs!$D$11)),IF(Inputs!$B$3="loglogistic",1/(1+(B268/CHOOSE(MATCH(Inputs!$B$3,{"weibull","lognormal","loglogistic"},0),Inputs!$F$7,Inputs!$F$9,Inputs!$F$11))^CHOOSE(MATCH(Inputs!$B$3,{"weibull","lognormal","loglogistic"},0),Inputs!$D$7,Inputs!$D$9,Inputs!$D$11)),1-NORM.S.DIST((LN(B268)-CHOOSE(MATCH(Inputs!$B$3,{"weibull","lognormal","loglogistic"},0),Inputs!$D$7,Inputs!$D$9,Inputs!$D$11))/CHOOSE(MATCH(Inputs!$B$3,{"weibull","lognormal","loglogistic"},0),Inputs!$F$7,Inputs!$F$9,Inputs!$F$11),TRUE))))</f>
        <v/>
      </c>
      <c r="D268">
        <f>IF(B268=0,1,IF(Inputs!$B$3="weibull",EXP(-(B268/CHOOSE(MATCH(Inputs!$B$3,{"weibull","lognormal","loglogistic"},0),Inputs!$F$8,Inputs!$F$10,Inputs!$F$12))^CHOOSE(MATCH(Inputs!$B$3,{"weibull","lognormal","loglogistic"},0),Inputs!$D$8,Inputs!$D$10,Inputs!$D$12)),IF(Inputs!$B$3="loglogistic",1/(1+(B268/CHOOSE(MATCH(Inputs!$B$3,{"weibull","lognormal","loglogistic"},0),Inputs!$F$8,Inputs!$F$10,Inputs!$F$12))^CHOOSE(MATCH(Inputs!$B$3,{"weibull","lognormal","loglogistic"},0),Inputs!$D$8,Inputs!$D$10,Inputs!$D$12)),1-NORM.S.DIST((LN(B268)-CHOOSE(MATCH(Inputs!$B$3,{"weibull","lognormal","loglogistic"},0),Inputs!$D$8,Inputs!$D$10,Inputs!$D$12))/CHOOSE(MATCH(Inputs!$B$3,{"weibull","lognormal","loglogistic"},0),Inputs!$F$8,Inputs!$F$10,Inputs!$F$12),TRUE))))</f>
        <v/>
      </c>
      <c r="E268">
        <f>(C267+C268)/2/12</f>
        <v/>
      </c>
      <c r="F268">
        <f>(D267+D268)/2/12</f>
        <v/>
      </c>
    </row>
    <row r="269">
      <c r="A269" t="n">
        <v>267</v>
      </c>
      <c r="B269">
        <f>A269/12</f>
        <v/>
      </c>
      <c r="C269">
        <f>IF(B269=0,1,IF(Inputs!$B$3="weibull",EXP(-(B269/CHOOSE(MATCH(Inputs!$B$3,{"weibull","lognormal","loglogistic"},0),Inputs!$F$7,Inputs!$F$9,Inputs!$F$11))^CHOOSE(MATCH(Inputs!$B$3,{"weibull","lognormal","loglogistic"},0),Inputs!$D$7,Inputs!$D$9,Inputs!$D$11)),IF(Inputs!$B$3="loglogistic",1/(1+(B269/CHOOSE(MATCH(Inputs!$B$3,{"weibull","lognormal","loglogistic"},0),Inputs!$F$7,Inputs!$F$9,Inputs!$F$11))^CHOOSE(MATCH(Inputs!$B$3,{"weibull","lognormal","loglogistic"},0),Inputs!$D$7,Inputs!$D$9,Inputs!$D$11)),1-NORM.S.DIST((LN(B269)-CHOOSE(MATCH(Inputs!$B$3,{"weibull","lognormal","loglogistic"},0),Inputs!$D$7,Inputs!$D$9,Inputs!$D$11))/CHOOSE(MATCH(Inputs!$B$3,{"weibull","lognormal","loglogistic"},0),Inputs!$F$7,Inputs!$F$9,Inputs!$F$11),TRUE))))</f>
        <v/>
      </c>
      <c r="D269">
        <f>IF(B269=0,1,IF(Inputs!$B$3="weibull",EXP(-(B269/CHOOSE(MATCH(Inputs!$B$3,{"weibull","lognormal","loglogistic"},0),Inputs!$F$8,Inputs!$F$10,Inputs!$F$12))^CHOOSE(MATCH(Inputs!$B$3,{"weibull","lognormal","loglogistic"},0),Inputs!$D$8,Inputs!$D$10,Inputs!$D$12)),IF(Inputs!$B$3="loglogistic",1/(1+(B269/CHOOSE(MATCH(Inputs!$B$3,{"weibull","lognormal","loglogistic"},0),Inputs!$F$8,Inputs!$F$10,Inputs!$F$12))^CHOOSE(MATCH(Inputs!$B$3,{"weibull","lognormal","loglogistic"},0),Inputs!$D$8,Inputs!$D$10,Inputs!$D$12)),1-NORM.S.DIST((LN(B269)-CHOOSE(MATCH(Inputs!$B$3,{"weibull","lognormal","loglogistic"},0),Inputs!$D$8,Inputs!$D$10,Inputs!$D$12))/CHOOSE(MATCH(Inputs!$B$3,{"weibull","lognormal","loglogistic"},0),Inputs!$F$8,Inputs!$F$10,Inputs!$F$12),TRUE))))</f>
        <v/>
      </c>
      <c r="E269">
        <f>(C268+C269)/2/12</f>
        <v/>
      </c>
      <c r="F269">
        <f>(D268+D269)/2/12</f>
        <v/>
      </c>
    </row>
    <row r="270">
      <c r="A270" t="n">
        <v>268</v>
      </c>
      <c r="B270">
        <f>A270/12</f>
        <v/>
      </c>
      <c r="C270">
        <f>IF(B270=0,1,IF(Inputs!$B$3="weibull",EXP(-(B270/CHOOSE(MATCH(Inputs!$B$3,{"weibull","lognormal","loglogistic"},0),Inputs!$F$7,Inputs!$F$9,Inputs!$F$11))^CHOOSE(MATCH(Inputs!$B$3,{"weibull","lognormal","loglogistic"},0),Inputs!$D$7,Inputs!$D$9,Inputs!$D$11)),IF(Inputs!$B$3="loglogistic",1/(1+(B270/CHOOSE(MATCH(Inputs!$B$3,{"weibull","lognormal","loglogistic"},0),Inputs!$F$7,Inputs!$F$9,Inputs!$F$11))^CHOOSE(MATCH(Inputs!$B$3,{"weibull","lognormal","loglogistic"},0),Inputs!$D$7,Inputs!$D$9,Inputs!$D$11)),1-NORM.S.DIST((LN(B270)-CHOOSE(MATCH(Inputs!$B$3,{"weibull","lognormal","loglogistic"},0),Inputs!$D$7,Inputs!$D$9,Inputs!$D$11))/CHOOSE(MATCH(Inputs!$B$3,{"weibull","lognormal","loglogistic"},0),Inputs!$F$7,Inputs!$F$9,Inputs!$F$11),TRUE))))</f>
        <v/>
      </c>
      <c r="D270">
        <f>IF(B270=0,1,IF(Inputs!$B$3="weibull",EXP(-(B270/CHOOSE(MATCH(Inputs!$B$3,{"weibull","lognormal","loglogistic"},0),Inputs!$F$8,Inputs!$F$10,Inputs!$F$12))^CHOOSE(MATCH(Inputs!$B$3,{"weibull","lognormal","loglogistic"},0),Inputs!$D$8,Inputs!$D$10,Inputs!$D$12)),IF(Inputs!$B$3="loglogistic",1/(1+(B270/CHOOSE(MATCH(Inputs!$B$3,{"weibull","lognormal","loglogistic"},0),Inputs!$F$8,Inputs!$F$10,Inputs!$F$12))^CHOOSE(MATCH(Inputs!$B$3,{"weibull","lognormal","loglogistic"},0),Inputs!$D$8,Inputs!$D$10,Inputs!$D$12)),1-NORM.S.DIST((LN(B270)-CHOOSE(MATCH(Inputs!$B$3,{"weibull","lognormal","loglogistic"},0),Inputs!$D$8,Inputs!$D$10,Inputs!$D$12))/CHOOSE(MATCH(Inputs!$B$3,{"weibull","lognormal","loglogistic"},0),Inputs!$F$8,Inputs!$F$10,Inputs!$F$12),TRUE))))</f>
        <v/>
      </c>
      <c r="E270">
        <f>(C269+C270)/2/12</f>
        <v/>
      </c>
      <c r="F270">
        <f>(D269+D270)/2/12</f>
        <v/>
      </c>
    </row>
    <row r="271">
      <c r="A271" t="n">
        <v>269</v>
      </c>
      <c r="B271">
        <f>A271/12</f>
        <v/>
      </c>
      <c r="C271">
        <f>IF(B271=0,1,IF(Inputs!$B$3="weibull",EXP(-(B271/CHOOSE(MATCH(Inputs!$B$3,{"weibull","lognormal","loglogistic"},0),Inputs!$F$7,Inputs!$F$9,Inputs!$F$11))^CHOOSE(MATCH(Inputs!$B$3,{"weibull","lognormal","loglogistic"},0),Inputs!$D$7,Inputs!$D$9,Inputs!$D$11)),IF(Inputs!$B$3="loglogistic",1/(1+(B271/CHOOSE(MATCH(Inputs!$B$3,{"weibull","lognormal","loglogistic"},0),Inputs!$F$7,Inputs!$F$9,Inputs!$F$11))^CHOOSE(MATCH(Inputs!$B$3,{"weibull","lognormal","loglogistic"},0),Inputs!$D$7,Inputs!$D$9,Inputs!$D$11)),1-NORM.S.DIST((LN(B271)-CHOOSE(MATCH(Inputs!$B$3,{"weibull","lognormal","loglogistic"},0),Inputs!$D$7,Inputs!$D$9,Inputs!$D$11))/CHOOSE(MATCH(Inputs!$B$3,{"weibull","lognormal","loglogistic"},0),Inputs!$F$7,Inputs!$F$9,Inputs!$F$11),TRUE))))</f>
        <v/>
      </c>
      <c r="D271">
        <f>IF(B271=0,1,IF(Inputs!$B$3="weibull",EXP(-(B271/CHOOSE(MATCH(Inputs!$B$3,{"weibull","lognormal","loglogistic"},0),Inputs!$F$8,Inputs!$F$10,Inputs!$F$12))^CHOOSE(MATCH(Inputs!$B$3,{"weibull","lognormal","loglogistic"},0),Inputs!$D$8,Inputs!$D$10,Inputs!$D$12)),IF(Inputs!$B$3="loglogistic",1/(1+(B271/CHOOSE(MATCH(Inputs!$B$3,{"weibull","lognormal","loglogistic"},0),Inputs!$F$8,Inputs!$F$10,Inputs!$F$12))^CHOOSE(MATCH(Inputs!$B$3,{"weibull","lognormal","loglogistic"},0),Inputs!$D$8,Inputs!$D$10,Inputs!$D$12)),1-NORM.S.DIST((LN(B271)-CHOOSE(MATCH(Inputs!$B$3,{"weibull","lognormal","loglogistic"},0),Inputs!$D$8,Inputs!$D$10,Inputs!$D$12))/CHOOSE(MATCH(Inputs!$B$3,{"weibull","lognormal","loglogistic"},0),Inputs!$F$8,Inputs!$F$10,Inputs!$F$12),TRUE))))</f>
        <v/>
      </c>
      <c r="E271">
        <f>(C270+C271)/2/12</f>
        <v/>
      </c>
      <c r="F271">
        <f>(D270+D271)/2/12</f>
        <v/>
      </c>
    </row>
    <row r="272">
      <c r="A272" t="n">
        <v>270</v>
      </c>
      <c r="B272">
        <f>A272/12</f>
        <v/>
      </c>
      <c r="C272">
        <f>IF(B272=0,1,IF(Inputs!$B$3="weibull",EXP(-(B272/CHOOSE(MATCH(Inputs!$B$3,{"weibull","lognormal","loglogistic"},0),Inputs!$F$7,Inputs!$F$9,Inputs!$F$11))^CHOOSE(MATCH(Inputs!$B$3,{"weibull","lognormal","loglogistic"},0),Inputs!$D$7,Inputs!$D$9,Inputs!$D$11)),IF(Inputs!$B$3="loglogistic",1/(1+(B272/CHOOSE(MATCH(Inputs!$B$3,{"weibull","lognormal","loglogistic"},0),Inputs!$F$7,Inputs!$F$9,Inputs!$F$11))^CHOOSE(MATCH(Inputs!$B$3,{"weibull","lognormal","loglogistic"},0),Inputs!$D$7,Inputs!$D$9,Inputs!$D$11)),1-NORM.S.DIST((LN(B272)-CHOOSE(MATCH(Inputs!$B$3,{"weibull","lognormal","loglogistic"},0),Inputs!$D$7,Inputs!$D$9,Inputs!$D$11))/CHOOSE(MATCH(Inputs!$B$3,{"weibull","lognormal","loglogistic"},0),Inputs!$F$7,Inputs!$F$9,Inputs!$F$11),TRUE))))</f>
        <v/>
      </c>
      <c r="D272">
        <f>IF(B272=0,1,IF(Inputs!$B$3="weibull",EXP(-(B272/CHOOSE(MATCH(Inputs!$B$3,{"weibull","lognormal","loglogistic"},0),Inputs!$F$8,Inputs!$F$10,Inputs!$F$12))^CHOOSE(MATCH(Inputs!$B$3,{"weibull","lognormal","loglogistic"},0),Inputs!$D$8,Inputs!$D$10,Inputs!$D$12)),IF(Inputs!$B$3="loglogistic",1/(1+(B272/CHOOSE(MATCH(Inputs!$B$3,{"weibull","lognormal","loglogistic"},0),Inputs!$F$8,Inputs!$F$10,Inputs!$F$12))^CHOOSE(MATCH(Inputs!$B$3,{"weibull","lognormal","loglogistic"},0),Inputs!$D$8,Inputs!$D$10,Inputs!$D$12)),1-NORM.S.DIST((LN(B272)-CHOOSE(MATCH(Inputs!$B$3,{"weibull","lognormal","loglogistic"},0),Inputs!$D$8,Inputs!$D$10,Inputs!$D$12))/CHOOSE(MATCH(Inputs!$B$3,{"weibull","lognormal","loglogistic"},0),Inputs!$F$8,Inputs!$F$10,Inputs!$F$12),TRUE))))</f>
        <v/>
      </c>
      <c r="E272">
        <f>(C271+C272)/2/12</f>
        <v/>
      </c>
      <c r="F272">
        <f>(D271+D272)/2/12</f>
        <v/>
      </c>
    </row>
    <row r="273">
      <c r="A273" t="n">
        <v>271</v>
      </c>
      <c r="B273">
        <f>A273/12</f>
        <v/>
      </c>
      <c r="C273">
        <f>IF(B273=0,1,IF(Inputs!$B$3="weibull",EXP(-(B273/CHOOSE(MATCH(Inputs!$B$3,{"weibull","lognormal","loglogistic"},0),Inputs!$F$7,Inputs!$F$9,Inputs!$F$11))^CHOOSE(MATCH(Inputs!$B$3,{"weibull","lognormal","loglogistic"},0),Inputs!$D$7,Inputs!$D$9,Inputs!$D$11)),IF(Inputs!$B$3="loglogistic",1/(1+(B273/CHOOSE(MATCH(Inputs!$B$3,{"weibull","lognormal","loglogistic"},0),Inputs!$F$7,Inputs!$F$9,Inputs!$F$11))^CHOOSE(MATCH(Inputs!$B$3,{"weibull","lognormal","loglogistic"},0),Inputs!$D$7,Inputs!$D$9,Inputs!$D$11)),1-NORM.S.DIST((LN(B273)-CHOOSE(MATCH(Inputs!$B$3,{"weibull","lognormal","loglogistic"},0),Inputs!$D$7,Inputs!$D$9,Inputs!$D$11))/CHOOSE(MATCH(Inputs!$B$3,{"weibull","lognormal","loglogistic"},0),Inputs!$F$7,Inputs!$F$9,Inputs!$F$11),TRUE))))</f>
        <v/>
      </c>
      <c r="D273">
        <f>IF(B273=0,1,IF(Inputs!$B$3="weibull",EXP(-(B273/CHOOSE(MATCH(Inputs!$B$3,{"weibull","lognormal","loglogistic"},0),Inputs!$F$8,Inputs!$F$10,Inputs!$F$12))^CHOOSE(MATCH(Inputs!$B$3,{"weibull","lognormal","loglogistic"},0),Inputs!$D$8,Inputs!$D$10,Inputs!$D$12)),IF(Inputs!$B$3="loglogistic",1/(1+(B273/CHOOSE(MATCH(Inputs!$B$3,{"weibull","lognormal","loglogistic"},0),Inputs!$F$8,Inputs!$F$10,Inputs!$F$12))^CHOOSE(MATCH(Inputs!$B$3,{"weibull","lognormal","loglogistic"},0),Inputs!$D$8,Inputs!$D$10,Inputs!$D$12)),1-NORM.S.DIST((LN(B273)-CHOOSE(MATCH(Inputs!$B$3,{"weibull","lognormal","loglogistic"},0),Inputs!$D$8,Inputs!$D$10,Inputs!$D$12))/CHOOSE(MATCH(Inputs!$B$3,{"weibull","lognormal","loglogistic"},0),Inputs!$F$8,Inputs!$F$10,Inputs!$F$12),TRUE))))</f>
        <v/>
      </c>
      <c r="E273">
        <f>(C272+C273)/2/12</f>
        <v/>
      </c>
      <c r="F273">
        <f>(D272+D273)/2/12</f>
        <v/>
      </c>
    </row>
    <row r="274">
      <c r="A274" t="n">
        <v>272</v>
      </c>
      <c r="B274">
        <f>A274/12</f>
        <v/>
      </c>
      <c r="C274">
        <f>IF(B274=0,1,IF(Inputs!$B$3="weibull",EXP(-(B274/CHOOSE(MATCH(Inputs!$B$3,{"weibull","lognormal","loglogistic"},0),Inputs!$F$7,Inputs!$F$9,Inputs!$F$11))^CHOOSE(MATCH(Inputs!$B$3,{"weibull","lognormal","loglogistic"},0),Inputs!$D$7,Inputs!$D$9,Inputs!$D$11)),IF(Inputs!$B$3="loglogistic",1/(1+(B274/CHOOSE(MATCH(Inputs!$B$3,{"weibull","lognormal","loglogistic"},0),Inputs!$F$7,Inputs!$F$9,Inputs!$F$11))^CHOOSE(MATCH(Inputs!$B$3,{"weibull","lognormal","loglogistic"},0),Inputs!$D$7,Inputs!$D$9,Inputs!$D$11)),1-NORM.S.DIST((LN(B274)-CHOOSE(MATCH(Inputs!$B$3,{"weibull","lognormal","loglogistic"},0),Inputs!$D$7,Inputs!$D$9,Inputs!$D$11))/CHOOSE(MATCH(Inputs!$B$3,{"weibull","lognormal","loglogistic"},0),Inputs!$F$7,Inputs!$F$9,Inputs!$F$11),TRUE))))</f>
        <v/>
      </c>
      <c r="D274">
        <f>IF(B274=0,1,IF(Inputs!$B$3="weibull",EXP(-(B274/CHOOSE(MATCH(Inputs!$B$3,{"weibull","lognormal","loglogistic"},0),Inputs!$F$8,Inputs!$F$10,Inputs!$F$12))^CHOOSE(MATCH(Inputs!$B$3,{"weibull","lognormal","loglogistic"},0),Inputs!$D$8,Inputs!$D$10,Inputs!$D$12)),IF(Inputs!$B$3="loglogistic",1/(1+(B274/CHOOSE(MATCH(Inputs!$B$3,{"weibull","lognormal","loglogistic"},0),Inputs!$F$8,Inputs!$F$10,Inputs!$F$12))^CHOOSE(MATCH(Inputs!$B$3,{"weibull","lognormal","loglogistic"},0),Inputs!$D$8,Inputs!$D$10,Inputs!$D$12)),1-NORM.S.DIST((LN(B274)-CHOOSE(MATCH(Inputs!$B$3,{"weibull","lognormal","loglogistic"},0),Inputs!$D$8,Inputs!$D$10,Inputs!$D$12))/CHOOSE(MATCH(Inputs!$B$3,{"weibull","lognormal","loglogistic"},0),Inputs!$F$8,Inputs!$F$10,Inputs!$F$12),TRUE))))</f>
        <v/>
      </c>
      <c r="E274">
        <f>(C273+C274)/2/12</f>
        <v/>
      </c>
      <c r="F274">
        <f>(D273+D274)/2/12</f>
        <v/>
      </c>
    </row>
    <row r="275">
      <c r="A275" t="n">
        <v>273</v>
      </c>
      <c r="B275">
        <f>A275/12</f>
        <v/>
      </c>
      <c r="C275">
        <f>IF(B275=0,1,IF(Inputs!$B$3="weibull",EXP(-(B275/CHOOSE(MATCH(Inputs!$B$3,{"weibull","lognormal","loglogistic"},0),Inputs!$F$7,Inputs!$F$9,Inputs!$F$11))^CHOOSE(MATCH(Inputs!$B$3,{"weibull","lognormal","loglogistic"},0),Inputs!$D$7,Inputs!$D$9,Inputs!$D$11)),IF(Inputs!$B$3="loglogistic",1/(1+(B275/CHOOSE(MATCH(Inputs!$B$3,{"weibull","lognormal","loglogistic"},0),Inputs!$F$7,Inputs!$F$9,Inputs!$F$11))^CHOOSE(MATCH(Inputs!$B$3,{"weibull","lognormal","loglogistic"},0),Inputs!$D$7,Inputs!$D$9,Inputs!$D$11)),1-NORM.S.DIST((LN(B275)-CHOOSE(MATCH(Inputs!$B$3,{"weibull","lognormal","loglogistic"},0),Inputs!$D$7,Inputs!$D$9,Inputs!$D$11))/CHOOSE(MATCH(Inputs!$B$3,{"weibull","lognormal","loglogistic"},0),Inputs!$F$7,Inputs!$F$9,Inputs!$F$11),TRUE))))</f>
        <v/>
      </c>
      <c r="D275">
        <f>IF(B275=0,1,IF(Inputs!$B$3="weibull",EXP(-(B275/CHOOSE(MATCH(Inputs!$B$3,{"weibull","lognormal","loglogistic"},0),Inputs!$F$8,Inputs!$F$10,Inputs!$F$12))^CHOOSE(MATCH(Inputs!$B$3,{"weibull","lognormal","loglogistic"},0),Inputs!$D$8,Inputs!$D$10,Inputs!$D$12)),IF(Inputs!$B$3="loglogistic",1/(1+(B275/CHOOSE(MATCH(Inputs!$B$3,{"weibull","lognormal","loglogistic"},0),Inputs!$F$8,Inputs!$F$10,Inputs!$F$12))^CHOOSE(MATCH(Inputs!$B$3,{"weibull","lognormal","loglogistic"},0),Inputs!$D$8,Inputs!$D$10,Inputs!$D$12)),1-NORM.S.DIST((LN(B275)-CHOOSE(MATCH(Inputs!$B$3,{"weibull","lognormal","loglogistic"},0),Inputs!$D$8,Inputs!$D$10,Inputs!$D$12))/CHOOSE(MATCH(Inputs!$B$3,{"weibull","lognormal","loglogistic"},0),Inputs!$F$8,Inputs!$F$10,Inputs!$F$12),TRUE))))</f>
        <v/>
      </c>
      <c r="E275">
        <f>(C274+C275)/2/12</f>
        <v/>
      </c>
      <c r="F275">
        <f>(D274+D275)/2/12</f>
        <v/>
      </c>
    </row>
    <row r="276">
      <c r="A276" t="n">
        <v>274</v>
      </c>
      <c r="B276">
        <f>A276/12</f>
        <v/>
      </c>
      <c r="C276">
        <f>IF(B276=0,1,IF(Inputs!$B$3="weibull",EXP(-(B276/CHOOSE(MATCH(Inputs!$B$3,{"weibull","lognormal","loglogistic"},0),Inputs!$F$7,Inputs!$F$9,Inputs!$F$11))^CHOOSE(MATCH(Inputs!$B$3,{"weibull","lognormal","loglogistic"},0),Inputs!$D$7,Inputs!$D$9,Inputs!$D$11)),IF(Inputs!$B$3="loglogistic",1/(1+(B276/CHOOSE(MATCH(Inputs!$B$3,{"weibull","lognormal","loglogistic"},0),Inputs!$F$7,Inputs!$F$9,Inputs!$F$11))^CHOOSE(MATCH(Inputs!$B$3,{"weibull","lognormal","loglogistic"},0),Inputs!$D$7,Inputs!$D$9,Inputs!$D$11)),1-NORM.S.DIST((LN(B276)-CHOOSE(MATCH(Inputs!$B$3,{"weibull","lognormal","loglogistic"},0),Inputs!$D$7,Inputs!$D$9,Inputs!$D$11))/CHOOSE(MATCH(Inputs!$B$3,{"weibull","lognormal","loglogistic"},0),Inputs!$F$7,Inputs!$F$9,Inputs!$F$11),TRUE))))</f>
        <v/>
      </c>
      <c r="D276">
        <f>IF(B276=0,1,IF(Inputs!$B$3="weibull",EXP(-(B276/CHOOSE(MATCH(Inputs!$B$3,{"weibull","lognormal","loglogistic"},0),Inputs!$F$8,Inputs!$F$10,Inputs!$F$12))^CHOOSE(MATCH(Inputs!$B$3,{"weibull","lognormal","loglogistic"},0),Inputs!$D$8,Inputs!$D$10,Inputs!$D$12)),IF(Inputs!$B$3="loglogistic",1/(1+(B276/CHOOSE(MATCH(Inputs!$B$3,{"weibull","lognormal","loglogistic"},0),Inputs!$F$8,Inputs!$F$10,Inputs!$F$12))^CHOOSE(MATCH(Inputs!$B$3,{"weibull","lognormal","loglogistic"},0),Inputs!$D$8,Inputs!$D$10,Inputs!$D$12)),1-NORM.S.DIST((LN(B276)-CHOOSE(MATCH(Inputs!$B$3,{"weibull","lognormal","loglogistic"},0),Inputs!$D$8,Inputs!$D$10,Inputs!$D$12))/CHOOSE(MATCH(Inputs!$B$3,{"weibull","lognormal","loglogistic"},0),Inputs!$F$8,Inputs!$F$10,Inputs!$F$12),TRUE))))</f>
        <v/>
      </c>
      <c r="E276">
        <f>(C275+C276)/2/12</f>
        <v/>
      </c>
      <c r="F276">
        <f>(D275+D276)/2/12</f>
        <v/>
      </c>
    </row>
    <row r="277">
      <c r="A277" t="n">
        <v>275</v>
      </c>
      <c r="B277">
        <f>A277/12</f>
        <v/>
      </c>
      <c r="C277">
        <f>IF(B277=0,1,IF(Inputs!$B$3="weibull",EXP(-(B277/CHOOSE(MATCH(Inputs!$B$3,{"weibull","lognormal","loglogistic"},0),Inputs!$F$7,Inputs!$F$9,Inputs!$F$11))^CHOOSE(MATCH(Inputs!$B$3,{"weibull","lognormal","loglogistic"},0),Inputs!$D$7,Inputs!$D$9,Inputs!$D$11)),IF(Inputs!$B$3="loglogistic",1/(1+(B277/CHOOSE(MATCH(Inputs!$B$3,{"weibull","lognormal","loglogistic"},0),Inputs!$F$7,Inputs!$F$9,Inputs!$F$11))^CHOOSE(MATCH(Inputs!$B$3,{"weibull","lognormal","loglogistic"},0),Inputs!$D$7,Inputs!$D$9,Inputs!$D$11)),1-NORM.S.DIST((LN(B277)-CHOOSE(MATCH(Inputs!$B$3,{"weibull","lognormal","loglogistic"},0),Inputs!$D$7,Inputs!$D$9,Inputs!$D$11))/CHOOSE(MATCH(Inputs!$B$3,{"weibull","lognormal","loglogistic"},0),Inputs!$F$7,Inputs!$F$9,Inputs!$F$11),TRUE))))</f>
        <v/>
      </c>
      <c r="D277">
        <f>IF(B277=0,1,IF(Inputs!$B$3="weibull",EXP(-(B277/CHOOSE(MATCH(Inputs!$B$3,{"weibull","lognormal","loglogistic"},0),Inputs!$F$8,Inputs!$F$10,Inputs!$F$12))^CHOOSE(MATCH(Inputs!$B$3,{"weibull","lognormal","loglogistic"},0),Inputs!$D$8,Inputs!$D$10,Inputs!$D$12)),IF(Inputs!$B$3="loglogistic",1/(1+(B277/CHOOSE(MATCH(Inputs!$B$3,{"weibull","lognormal","loglogistic"},0),Inputs!$F$8,Inputs!$F$10,Inputs!$F$12))^CHOOSE(MATCH(Inputs!$B$3,{"weibull","lognormal","loglogistic"},0),Inputs!$D$8,Inputs!$D$10,Inputs!$D$12)),1-NORM.S.DIST((LN(B277)-CHOOSE(MATCH(Inputs!$B$3,{"weibull","lognormal","loglogistic"},0),Inputs!$D$8,Inputs!$D$10,Inputs!$D$12))/CHOOSE(MATCH(Inputs!$B$3,{"weibull","lognormal","loglogistic"},0),Inputs!$F$8,Inputs!$F$10,Inputs!$F$12),TRUE))))</f>
        <v/>
      </c>
      <c r="E277">
        <f>(C276+C277)/2/12</f>
        <v/>
      </c>
      <c r="F277">
        <f>(D276+D277)/2/12</f>
        <v/>
      </c>
    </row>
    <row r="278">
      <c r="A278" t="n">
        <v>276</v>
      </c>
      <c r="B278">
        <f>A278/12</f>
        <v/>
      </c>
      <c r="C278">
        <f>IF(B278=0,1,IF(Inputs!$B$3="weibull",EXP(-(B278/CHOOSE(MATCH(Inputs!$B$3,{"weibull","lognormal","loglogistic"},0),Inputs!$F$7,Inputs!$F$9,Inputs!$F$11))^CHOOSE(MATCH(Inputs!$B$3,{"weibull","lognormal","loglogistic"},0),Inputs!$D$7,Inputs!$D$9,Inputs!$D$11)),IF(Inputs!$B$3="loglogistic",1/(1+(B278/CHOOSE(MATCH(Inputs!$B$3,{"weibull","lognormal","loglogistic"},0),Inputs!$F$7,Inputs!$F$9,Inputs!$F$11))^CHOOSE(MATCH(Inputs!$B$3,{"weibull","lognormal","loglogistic"},0),Inputs!$D$7,Inputs!$D$9,Inputs!$D$11)),1-NORM.S.DIST((LN(B278)-CHOOSE(MATCH(Inputs!$B$3,{"weibull","lognormal","loglogistic"},0),Inputs!$D$7,Inputs!$D$9,Inputs!$D$11))/CHOOSE(MATCH(Inputs!$B$3,{"weibull","lognormal","loglogistic"},0),Inputs!$F$7,Inputs!$F$9,Inputs!$F$11),TRUE))))</f>
        <v/>
      </c>
      <c r="D278">
        <f>IF(B278=0,1,IF(Inputs!$B$3="weibull",EXP(-(B278/CHOOSE(MATCH(Inputs!$B$3,{"weibull","lognormal","loglogistic"},0),Inputs!$F$8,Inputs!$F$10,Inputs!$F$12))^CHOOSE(MATCH(Inputs!$B$3,{"weibull","lognormal","loglogistic"},0),Inputs!$D$8,Inputs!$D$10,Inputs!$D$12)),IF(Inputs!$B$3="loglogistic",1/(1+(B278/CHOOSE(MATCH(Inputs!$B$3,{"weibull","lognormal","loglogistic"},0),Inputs!$F$8,Inputs!$F$10,Inputs!$F$12))^CHOOSE(MATCH(Inputs!$B$3,{"weibull","lognormal","loglogistic"},0),Inputs!$D$8,Inputs!$D$10,Inputs!$D$12)),1-NORM.S.DIST((LN(B278)-CHOOSE(MATCH(Inputs!$B$3,{"weibull","lognormal","loglogistic"},0),Inputs!$D$8,Inputs!$D$10,Inputs!$D$12))/CHOOSE(MATCH(Inputs!$B$3,{"weibull","lognormal","loglogistic"},0),Inputs!$F$8,Inputs!$F$10,Inputs!$F$12),TRUE))))</f>
        <v/>
      </c>
      <c r="E278">
        <f>(C277+C278)/2/12</f>
        <v/>
      </c>
      <c r="F278">
        <f>(D277+D278)/2/12</f>
        <v/>
      </c>
    </row>
    <row r="279">
      <c r="A279" t="n">
        <v>277</v>
      </c>
      <c r="B279">
        <f>A279/12</f>
        <v/>
      </c>
      <c r="C279">
        <f>IF(B279=0,1,IF(Inputs!$B$3="weibull",EXP(-(B279/CHOOSE(MATCH(Inputs!$B$3,{"weibull","lognormal","loglogistic"},0),Inputs!$F$7,Inputs!$F$9,Inputs!$F$11))^CHOOSE(MATCH(Inputs!$B$3,{"weibull","lognormal","loglogistic"},0),Inputs!$D$7,Inputs!$D$9,Inputs!$D$11)),IF(Inputs!$B$3="loglogistic",1/(1+(B279/CHOOSE(MATCH(Inputs!$B$3,{"weibull","lognormal","loglogistic"},0),Inputs!$F$7,Inputs!$F$9,Inputs!$F$11))^CHOOSE(MATCH(Inputs!$B$3,{"weibull","lognormal","loglogistic"},0),Inputs!$D$7,Inputs!$D$9,Inputs!$D$11)),1-NORM.S.DIST((LN(B279)-CHOOSE(MATCH(Inputs!$B$3,{"weibull","lognormal","loglogistic"},0),Inputs!$D$7,Inputs!$D$9,Inputs!$D$11))/CHOOSE(MATCH(Inputs!$B$3,{"weibull","lognormal","loglogistic"},0),Inputs!$F$7,Inputs!$F$9,Inputs!$F$11),TRUE))))</f>
        <v/>
      </c>
      <c r="D279">
        <f>IF(B279=0,1,IF(Inputs!$B$3="weibull",EXP(-(B279/CHOOSE(MATCH(Inputs!$B$3,{"weibull","lognormal","loglogistic"},0),Inputs!$F$8,Inputs!$F$10,Inputs!$F$12))^CHOOSE(MATCH(Inputs!$B$3,{"weibull","lognormal","loglogistic"},0),Inputs!$D$8,Inputs!$D$10,Inputs!$D$12)),IF(Inputs!$B$3="loglogistic",1/(1+(B279/CHOOSE(MATCH(Inputs!$B$3,{"weibull","lognormal","loglogistic"},0),Inputs!$F$8,Inputs!$F$10,Inputs!$F$12))^CHOOSE(MATCH(Inputs!$B$3,{"weibull","lognormal","loglogistic"},0),Inputs!$D$8,Inputs!$D$10,Inputs!$D$12)),1-NORM.S.DIST((LN(B279)-CHOOSE(MATCH(Inputs!$B$3,{"weibull","lognormal","loglogistic"},0),Inputs!$D$8,Inputs!$D$10,Inputs!$D$12))/CHOOSE(MATCH(Inputs!$B$3,{"weibull","lognormal","loglogistic"},0),Inputs!$F$8,Inputs!$F$10,Inputs!$F$12),TRUE))))</f>
        <v/>
      </c>
      <c r="E279">
        <f>(C278+C279)/2/12</f>
        <v/>
      </c>
      <c r="F279">
        <f>(D278+D279)/2/12</f>
        <v/>
      </c>
    </row>
    <row r="280">
      <c r="A280" t="n">
        <v>278</v>
      </c>
      <c r="B280">
        <f>A280/12</f>
        <v/>
      </c>
      <c r="C280">
        <f>IF(B280=0,1,IF(Inputs!$B$3="weibull",EXP(-(B280/CHOOSE(MATCH(Inputs!$B$3,{"weibull","lognormal","loglogistic"},0),Inputs!$F$7,Inputs!$F$9,Inputs!$F$11))^CHOOSE(MATCH(Inputs!$B$3,{"weibull","lognormal","loglogistic"},0),Inputs!$D$7,Inputs!$D$9,Inputs!$D$11)),IF(Inputs!$B$3="loglogistic",1/(1+(B280/CHOOSE(MATCH(Inputs!$B$3,{"weibull","lognormal","loglogistic"},0),Inputs!$F$7,Inputs!$F$9,Inputs!$F$11))^CHOOSE(MATCH(Inputs!$B$3,{"weibull","lognormal","loglogistic"},0),Inputs!$D$7,Inputs!$D$9,Inputs!$D$11)),1-NORM.S.DIST((LN(B280)-CHOOSE(MATCH(Inputs!$B$3,{"weibull","lognormal","loglogistic"},0),Inputs!$D$7,Inputs!$D$9,Inputs!$D$11))/CHOOSE(MATCH(Inputs!$B$3,{"weibull","lognormal","loglogistic"},0),Inputs!$F$7,Inputs!$F$9,Inputs!$F$11),TRUE))))</f>
        <v/>
      </c>
      <c r="D280">
        <f>IF(B280=0,1,IF(Inputs!$B$3="weibull",EXP(-(B280/CHOOSE(MATCH(Inputs!$B$3,{"weibull","lognormal","loglogistic"},0),Inputs!$F$8,Inputs!$F$10,Inputs!$F$12))^CHOOSE(MATCH(Inputs!$B$3,{"weibull","lognormal","loglogistic"},0),Inputs!$D$8,Inputs!$D$10,Inputs!$D$12)),IF(Inputs!$B$3="loglogistic",1/(1+(B280/CHOOSE(MATCH(Inputs!$B$3,{"weibull","lognormal","loglogistic"},0),Inputs!$F$8,Inputs!$F$10,Inputs!$F$12))^CHOOSE(MATCH(Inputs!$B$3,{"weibull","lognormal","loglogistic"},0),Inputs!$D$8,Inputs!$D$10,Inputs!$D$12)),1-NORM.S.DIST((LN(B280)-CHOOSE(MATCH(Inputs!$B$3,{"weibull","lognormal","loglogistic"},0),Inputs!$D$8,Inputs!$D$10,Inputs!$D$12))/CHOOSE(MATCH(Inputs!$B$3,{"weibull","lognormal","loglogistic"},0),Inputs!$F$8,Inputs!$F$10,Inputs!$F$12),TRUE))))</f>
        <v/>
      </c>
      <c r="E280">
        <f>(C279+C280)/2/12</f>
        <v/>
      </c>
      <c r="F280">
        <f>(D279+D280)/2/12</f>
        <v/>
      </c>
    </row>
    <row r="281">
      <c r="A281" t="n">
        <v>279</v>
      </c>
      <c r="B281">
        <f>A281/12</f>
        <v/>
      </c>
      <c r="C281">
        <f>IF(B281=0,1,IF(Inputs!$B$3="weibull",EXP(-(B281/CHOOSE(MATCH(Inputs!$B$3,{"weibull","lognormal","loglogistic"},0),Inputs!$F$7,Inputs!$F$9,Inputs!$F$11))^CHOOSE(MATCH(Inputs!$B$3,{"weibull","lognormal","loglogistic"},0),Inputs!$D$7,Inputs!$D$9,Inputs!$D$11)),IF(Inputs!$B$3="loglogistic",1/(1+(B281/CHOOSE(MATCH(Inputs!$B$3,{"weibull","lognormal","loglogistic"},0),Inputs!$F$7,Inputs!$F$9,Inputs!$F$11))^CHOOSE(MATCH(Inputs!$B$3,{"weibull","lognormal","loglogistic"},0),Inputs!$D$7,Inputs!$D$9,Inputs!$D$11)),1-NORM.S.DIST((LN(B281)-CHOOSE(MATCH(Inputs!$B$3,{"weibull","lognormal","loglogistic"},0),Inputs!$D$7,Inputs!$D$9,Inputs!$D$11))/CHOOSE(MATCH(Inputs!$B$3,{"weibull","lognormal","loglogistic"},0),Inputs!$F$7,Inputs!$F$9,Inputs!$F$11),TRUE))))</f>
        <v/>
      </c>
      <c r="D281">
        <f>IF(B281=0,1,IF(Inputs!$B$3="weibull",EXP(-(B281/CHOOSE(MATCH(Inputs!$B$3,{"weibull","lognormal","loglogistic"},0),Inputs!$F$8,Inputs!$F$10,Inputs!$F$12))^CHOOSE(MATCH(Inputs!$B$3,{"weibull","lognormal","loglogistic"},0),Inputs!$D$8,Inputs!$D$10,Inputs!$D$12)),IF(Inputs!$B$3="loglogistic",1/(1+(B281/CHOOSE(MATCH(Inputs!$B$3,{"weibull","lognormal","loglogistic"},0),Inputs!$F$8,Inputs!$F$10,Inputs!$F$12))^CHOOSE(MATCH(Inputs!$B$3,{"weibull","lognormal","loglogistic"},0),Inputs!$D$8,Inputs!$D$10,Inputs!$D$12)),1-NORM.S.DIST((LN(B281)-CHOOSE(MATCH(Inputs!$B$3,{"weibull","lognormal","loglogistic"},0),Inputs!$D$8,Inputs!$D$10,Inputs!$D$12))/CHOOSE(MATCH(Inputs!$B$3,{"weibull","lognormal","loglogistic"},0),Inputs!$F$8,Inputs!$F$10,Inputs!$F$12),TRUE))))</f>
        <v/>
      </c>
      <c r="E281">
        <f>(C280+C281)/2/12</f>
        <v/>
      </c>
      <c r="F281">
        <f>(D280+D281)/2/12</f>
        <v/>
      </c>
    </row>
    <row r="282">
      <c r="A282" t="n">
        <v>280</v>
      </c>
      <c r="B282">
        <f>A282/12</f>
        <v/>
      </c>
      <c r="C282">
        <f>IF(B282=0,1,IF(Inputs!$B$3="weibull",EXP(-(B282/CHOOSE(MATCH(Inputs!$B$3,{"weibull","lognormal","loglogistic"},0),Inputs!$F$7,Inputs!$F$9,Inputs!$F$11))^CHOOSE(MATCH(Inputs!$B$3,{"weibull","lognormal","loglogistic"},0),Inputs!$D$7,Inputs!$D$9,Inputs!$D$11)),IF(Inputs!$B$3="loglogistic",1/(1+(B282/CHOOSE(MATCH(Inputs!$B$3,{"weibull","lognormal","loglogistic"},0),Inputs!$F$7,Inputs!$F$9,Inputs!$F$11))^CHOOSE(MATCH(Inputs!$B$3,{"weibull","lognormal","loglogistic"},0),Inputs!$D$7,Inputs!$D$9,Inputs!$D$11)),1-NORM.S.DIST((LN(B282)-CHOOSE(MATCH(Inputs!$B$3,{"weibull","lognormal","loglogistic"},0),Inputs!$D$7,Inputs!$D$9,Inputs!$D$11))/CHOOSE(MATCH(Inputs!$B$3,{"weibull","lognormal","loglogistic"},0),Inputs!$F$7,Inputs!$F$9,Inputs!$F$11),TRUE))))</f>
        <v/>
      </c>
      <c r="D282">
        <f>IF(B282=0,1,IF(Inputs!$B$3="weibull",EXP(-(B282/CHOOSE(MATCH(Inputs!$B$3,{"weibull","lognormal","loglogistic"},0),Inputs!$F$8,Inputs!$F$10,Inputs!$F$12))^CHOOSE(MATCH(Inputs!$B$3,{"weibull","lognormal","loglogistic"},0),Inputs!$D$8,Inputs!$D$10,Inputs!$D$12)),IF(Inputs!$B$3="loglogistic",1/(1+(B282/CHOOSE(MATCH(Inputs!$B$3,{"weibull","lognormal","loglogistic"},0),Inputs!$F$8,Inputs!$F$10,Inputs!$F$12))^CHOOSE(MATCH(Inputs!$B$3,{"weibull","lognormal","loglogistic"},0),Inputs!$D$8,Inputs!$D$10,Inputs!$D$12)),1-NORM.S.DIST((LN(B282)-CHOOSE(MATCH(Inputs!$B$3,{"weibull","lognormal","loglogistic"},0),Inputs!$D$8,Inputs!$D$10,Inputs!$D$12))/CHOOSE(MATCH(Inputs!$B$3,{"weibull","lognormal","loglogistic"},0),Inputs!$F$8,Inputs!$F$10,Inputs!$F$12),TRUE))))</f>
        <v/>
      </c>
      <c r="E282">
        <f>(C281+C282)/2/12</f>
        <v/>
      </c>
      <c r="F282">
        <f>(D281+D282)/2/12</f>
        <v/>
      </c>
    </row>
    <row r="283">
      <c r="A283" t="n">
        <v>281</v>
      </c>
      <c r="B283">
        <f>A283/12</f>
        <v/>
      </c>
      <c r="C283">
        <f>IF(B283=0,1,IF(Inputs!$B$3="weibull",EXP(-(B283/CHOOSE(MATCH(Inputs!$B$3,{"weibull","lognormal","loglogistic"},0),Inputs!$F$7,Inputs!$F$9,Inputs!$F$11))^CHOOSE(MATCH(Inputs!$B$3,{"weibull","lognormal","loglogistic"},0),Inputs!$D$7,Inputs!$D$9,Inputs!$D$11)),IF(Inputs!$B$3="loglogistic",1/(1+(B283/CHOOSE(MATCH(Inputs!$B$3,{"weibull","lognormal","loglogistic"},0),Inputs!$F$7,Inputs!$F$9,Inputs!$F$11))^CHOOSE(MATCH(Inputs!$B$3,{"weibull","lognormal","loglogistic"},0),Inputs!$D$7,Inputs!$D$9,Inputs!$D$11)),1-NORM.S.DIST((LN(B283)-CHOOSE(MATCH(Inputs!$B$3,{"weibull","lognormal","loglogistic"},0),Inputs!$D$7,Inputs!$D$9,Inputs!$D$11))/CHOOSE(MATCH(Inputs!$B$3,{"weibull","lognormal","loglogistic"},0),Inputs!$F$7,Inputs!$F$9,Inputs!$F$11),TRUE))))</f>
        <v/>
      </c>
      <c r="D283">
        <f>IF(B283=0,1,IF(Inputs!$B$3="weibull",EXP(-(B283/CHOOSE(MATCH(Inputs!$B$3,{"weibull","lognormal","loglogistic"},0),Inputs!$F$8,Inputs!$F$10,Inputs!$F$12))^CHOOSE(MATCH(Inputs!$B$3,{"weibull","lognormal","loglogistic"},0),Inputs!$D$8,Inputs!$D$10,Inputs!$D$12)),IF(Inputs!$B$3="loglogistic",1/(1+(B283/CHOOSE(MATCH(Inputs!$B$3,{"weibull","lognormal","loglogistic"},0),Inputs!$F$8,Inputs!$F$10,Inputs!$F$12))^CHOOSE(MATCH(Inputs!$B$3,{"weibull","lognormal","loglogistic"},0),Inputs!$D$8,Inputs!$D$10,Inputs!$D$12)),1-NORM.S.DIST((LN(B283)-CHOOSE(MATCH(Inputs!$B$3,{"weibull","lognormal","loglogistic"},0),Inputs!$D$8,Inputs!$D$10,Inputs!$D$12))/CHOOSE(MATCH(Inputs!$B$3,{"weibull","lognormal","loglogistic"},0),Inputs!$F$8,Inputs!$F$10,Inputs!$F$12),TRUE))))</f>
        <v/>
      </c>
      <c r="E283">
        <f>(C282+C283)/2/12</f>
        <v/>
      </c>
      <c r="F283">
        <f>(D282+D283)/2/12</f>
        <v/>
      </c>
    </row>
    <row r="284">
      <c r="A284" t="n">
        <v>282</v>
      </c>
      <c r="B284">
        <f>A284/12</f>
        <v/>
      </c>
      <c r="C284">
        <f>IF(B284=0,1,IF(Inputs!$B$3="weibull",EXP(-(B284/CHOOSE(MATCH(Inputs!$B$3,{"weibull","lognormal","loglogistic"},0),Inputs!$F$7,Inputs!$F$9,Inputs!$F$11))^CHOOSE(MATCH(Inputs!$B$3,{"weibull","lognormal","loglogistic"},0),Inputs!$D$7,Inputs!$D$9,Inputs!$D$11)),IF(Inputs!$B$3="loglogistic",1/(1+(B284/CHOOSE(MATCH(Inputs!$B$3,{"weibull","lognormal","loglogistic"},0),Inputs!$F$7,Inputs!$F$9,Inputs!$F$11))^CHOOSE(MATCH(Inputs!$B$3,{"weibull","lognormal","loglogistic"},0),Inputs!$D$7,Inputs!$D$9,Inputs!$D$11)),1-NORM.S.DIST((LN(B284)-CHOOSE(MATCH(Inputs!$B$3,{"weibull","lognormal","loglogistic"},0),Inputs!$D$7,Inputs!$D$9,Inputs!$D$11))/CHOOSE(MATCH(Inputs!$B$3,{"weibull","lognormal","loglogistic"},0),Inputs!$F$7,Inputs!$F$9,Inputs!$F$11),TRUE))))</f>
        <v/>
      </c>
      <c r="D284">
        <f>IF(B284=0,1,IF(Inputs!$B$3="weibull",EXP(-(B284/CHOOSE(MATCH(Inputs!$B$3,{"weibull","lognormal","loglogistic"},0),Inputs!$F$8,Inputs!$F$10,Inputs!$F$12))^CHOOSE(MATCH(Inputs!$B$3,{"weibull","lognormal","loglogistic"},0),Inputs!$D$8,Inputs!$D$10,Inputs!$D$12)),IF(Inputs!$B$3="loglogistic",1/(1+(B284/CHOOSE(MATCH(Inputs!$B$3,{"weibull","lognormal","loglogistic"},0),Inputs!$F$8,Inputs!$F$10,Inputs!$F$12))^CHOOSE(MATCH(Inputs!$B$3,{"weibull","lognormal","loglogistic"},0),Inputs!$D$8,Inputs!$D$10,Inputs!$D$12)),1-NORM.S.DIST((LN(B284)-CHOOSE(MATCH(Inputs!$B$3,{"weibull","lognormal","loglogistic"},0),Inputs!$D$8,Inputs!$D$10,Inputs!$D$12))/CHOOSE(MATCH(Inputs!$B$3,{"weibull","lognormal","loglogistic"},0),Inputs!$F$8,Inputs!$F$10,Inputs!$F$12),TRUE))))</f>
        <v/>
      </c>
      <c r="E284">
        <f>(C283+C284)/2/12</f>
        <v/>
      </c>
      <c r="F284">
        <f>(D283+D284)/2/12</f>
        <v/>
      </c>
    </row>
    <row r="285">
      <c r="A285" t="n">
        <v>283</v>
      </c>
      <c r="B285">
        <f>A285/12</f>
        <v/>
      </c>
      <c r="C285">
        <f>IF(B285=0,1,IF(Inputs!$B$3="weibull",EXP(-(B285/CHOOSE(MATCH(Inputs!$B$3,{"weibull","lognormal","loglogistic"},0),Inputs!$F$7,Inputs!$F$9,Inputs!$F$11))^CHOOSE(MATCH(Inputs!$B$3,{"weibull","lognormal","loglogistic"},0),Inputs!$D$7,Inputs!$D$9,Inputs!$D$11)),IF(Inputs!$B$3="loglogistic",1/(1+(B285/CHOOSE(MATCH(Inputs!$B$3,{"weibull","lognormal","loglogistic"},0),Inputs!$F$7,Inputs!$F$9,Inputs!$F$11))^CHOOSE(MATCH(Inputs!$B$3,{"weibull","lognormal","loglogistic"},0),Inputs!$D$7,Inputs!$D$9,Inputs!$D$11)),1-NORM.S.DIST((LN(B285)-CHOOSE(MATCH(Inputs!$B$3,{"weibull","lognormal","loglogistic"},0),Inputs!$D$7,Inputs!$D$9,Inputs!$D$11))/CHOOSE(MATCH(Inputs!$B$3,{"weibull","lognormal","loglogistic"},0),Inputs!$F$7,Inputs!$F$9,Inputs!$F$11),TRUE))))</f>
        <v/>
      </c>
      <c r="D285">
        <f>IF(B285=0,1,IF(Inputs!$B$3="weibull",EXP(-(B285/CHOOSE(MATCH(Inputs!$B$3,{"weibull","lognormal","loglogistic"},0),Inputs!$F$8,Inputs!$F$10,Inputs!$F$12))^CHOOSE(MATCH(Inputs!$B$3,{"weibull","lognormal","loglogistic"},0),Inputs!$D$8,Inputs!$D$10,Inputs!$D$12)),IF(Inputs!$B$3="loglogistic",1/(1+(B285/CHOOSE(MATCH(Inputs!$B$3,{"weibull","lognormal","loglogistic"},0),Inputs!$F$8,Inputs!$F$10,Inputs!$F$12))^CHOOSE(MATCH(Inputs!$B$3,{"weibull","lognormal","loglogistic"},0),Inputs!$D$8,Inputs!$D$10,Inputs!$D$12)),1-NORM.S.DIST((LN(B285)-CHOOSE(MATCH(Inputs!$B$3,{"weibull","lognormal","loglogistic"},0),Inputs!$D$8,Inputs!$D$10,Inputs!$D$12))/CHOOSE(MATCH(Inputs!$B$3,{"weibull","lognormal","loglogistic"},0),Inputs!$F$8,Inputs!$F$10,Inputs!$F$12),TRUE))))</f>
        <v/>
      </c>
      <c r="E285">
        <f>(C284+C285)/2/12</f>
        <v/>
      </c>
      <c r="F285">
        <f>(D284+D285)/2/12</f>
        <v/>
      </c>
    </row>
    <row r="286">
      <c r="A286" t="n">
        <v>284</v>
      </c>
      <c r="B286">
        <f>A286/12</f>
        <v/>
      </c>
      <c r="C286">
        <f>IF(B286=0,1,IF(Inputs!$B$3="weibull",EXP(-(B286/CHOOSE(MATCH(Inputs!$B$3,{"weibull","lognormal","loglogistic"},0),Inputs!$F$7,Inputs!$F$9,Inputs!$F$11))^CHOOSE(MATCH(Inputs!$B$3,{"weibull","lognormal","loglogistic"},0),Inputs!$D$7,Inputs!$D$9,Inputs!$D$11)),IF(Inputs!$B$3="loglogistic",1/(1+(B286/CHOOSE(MATCH(Inputs!$B$3,{"weibull","lognormal","loglogistic"},0),Inputs!$F$7,Inputs!$F$9,Inputs!$F$11))^CHOOSE(MATCH(Inputs!$B$3,{"weibull","lognormal","loglogistic"},0),Inputs!$D$7,Inputs!$D$9,Inputs!$D$11)),1-NORM.S.DIST((LN(B286)-CHOOSE(MATCH(Inputs!$B$3,{"weibull","lognormal","loglogistic"},0),Inputs!$D$7,Inputs!$D$9,Inputs!$D$11))/CHOOSE(MATCH(Inputs!$B$3,{"weibull","lognormal","loglogistic"},0),Inputs!$F$7,Inputs!$F$9,Inputs!$F$11),TRUE))))</f>
        <v/>
      </c>
      <c r="D286">
        <f>IF(B286=0,1,IF(Inputs!$B$3="weibull",EXP(-(B286/CHOOSE(MATCH(Inputs!$B$3,{"weibull","lognormal","loglogistic"},0),Inputs!$F$8,Inputs!$F$10,Inputs!$F$12))^CHOOSE(MATCH(Inputs!$B$3,{"weibull","lognormal","loglogistic"},0),Inputs!$D$8,Inputs!$D$10,Inputs!$D$12)),IF(Inputs!$B$3="loglogistic",1/(1+(B286/CHOOSE(MATCH(Inputs!$B$3,{"weibull","lognormal","loglogistic"},0),Inputs!$F$8,Inputs!$F$10,Inputs!$F$12))^CHOOSE(MATCH(Inputs!$B$3,{"weibull","lognormal","loglogistic"},0),Inputs!$D$8,Inputs!$D$10,Inputs!$D$12)),1-NORM.S.DIST((LN(B286)-CHOOSE(MATCH(Inputs!$B$3,{"weibull","lognormal","loglogistic"},0),Inputs!$D$8,Inputs!$D$10,Inputs!$D$12))/CHOOSE(MATCH(Inputs!$B$3,{"weibull","lognormal","loglogistic"},0),Inputs!$F$8,Inputs!$F$10,Inputs!$F$12),TRUE))))</f>
        <v/>
      </c>
      <c r="E286">
        <f>(C285+C286)/2/12</f>
        <v/>
      </c>
      <c r="F286">
        <f>(D285+D286)/2/12</f>
        <v/>
      </c>
    </row>
    <row r="287">
      <c r="A287" t="n">
        <v>285</v>
      </c>
      <c r="B287">
        <f>A287/12</f>
        <v/>
      </c>
      <c r="C287">
        <f>IF(B287=0,1,IF(Inputs!$B$3="weibull",EXP(-(B287/CHOOSE(MATCH(Inputs!$B$3,{"weibull","lognormal","loglogistic"},0),Inputs!$F$7,Inputs!$F$9,Inputs!$F$11))^CHOOSE(MATCH(Inputs!$B$3,{"weibull","lognormal","loglogistic"},0),Inputs!$D$7,Inputs!$D$9,Inputs!$D$11)),IF(Inputs!$B$3="loglogistic",1/(1+(B287/CHOOSE(MATCH(Inputs!$B$3,{"weibull","lognormal","loglogistic"},0),Inputs!$F$7,Inputs!$F$9,Inputs!$F$11))^CHOOSE(MATCH(Inputs!$B$3,{"weibull","lognormal","loglogistic"},0),Inputs!$D$7,Inputs!$D$9,Inputs!$D$11)),1-NORM.S.DIST((LN(B287)-CHOOSE(MATCH(Inputs!$B$3,{"weibull","lognormal","loglogistic"},0),Inputs!$D$7,Inputs!$D$9,Inputs!$D$11))/CHOOSE(MATCH(Inputs!$B$3,{"weibull","lognormal","loglogistic"},0),Inputs!$F$7,Inputs!$F$9,Inputs!$F$11),TRUE))))</f>
        <v/>
      </c>
      <c r="D287">
        <f>IF(B287=0,1,IF(Inputs!$B$3="weibull",EXP(-(B287/CHOOSE(MATCH(Inputs!$B$3,{"weibull","lognormal","loglogistic"},0),Inputs!$F$8,Inputs!$F$10,Inputs!$F$12))^CHOOSE(MATCH(Inputs!$B$3,{"weibull","lognormal","loglogistic"},0),Inputs!$D$8,Inputs!$D$10,Inputs!$D$12)),IF(Inputs!$B$3="loglogistic",1/(1+(B287/CHOOSE(MATCH(Inputs!$B$3,{"weibull","lognormal","loglogistic"},0),Inputs!$F$8,Inputs!$F$10,Inputs!$F$12))^CHOOSE(MATCH(Inputs!$B$3,{"weibull","lognormal","loglogistic"},0),Inputs!$D$8,Inputs!$D$10,Inputs!$D$12)),1-NORM.S.DIST((LN(B287)-CHOOSE(MATCH(Inputs!$B$3,{"weibull","lognormal","loglogistic"},0),Inputs!$D$8,Inputs!$D$10,Inputs!$D$12))/CHOOSE(MATCH(Inputs!$B$3,{"weibull","lognormal","loglogistic"},0),Inputs!$F$8,Inputs!$F$10,Inputs!$F$12),TRUE))))</f>
        <v/>
      </c>
      <c r="E287">
        <f>(C286+C287)/2/12</f>
        <v/>
      </c>
      <c r="F287">
        <f>(D286+D287)/2/12</f>
        <v/>
      </c>
    </row>
    <row r="288">
      <c r="A288" t="n">
        <v>286</v>
      </c>
      <c r="B288">
        <f>A288/12</f>
        <v/>
      </c>
      <c r="C288">
        <f>IF(B288=0,1,IF(Inputs!$B$3="weibull",EXP(-(B288/CHOOSE(MATCH(Inputs!$B$3,{"weibull","lognormal","loglogistic"},0),Inputs!$F$7,Inputs!$F$9,Inputs!$F$11))^CHOOSE(MATCH(Inputs!$B$3,{"weibull","lognormal","loglogistic"},0),Inputs!$D$7,Inputs!$D$9,Inputs!$D$11)),IF(Inputs!$B$3="loglogistic",1/(1+(B288/CHOOSE(MATCH(Inputs!$B$3,{"weibull","lognormal","loglogistic"},0),Inputs!$F$7,Inputs!$F$9,Inputs!$F$11))^CHOOSE(MATCH(Inputs!$B$3,{"weibull","lognormal","loglogistic"},0),Inputs!$D$7,Inputs!$D$9,Inputs!$D$11)),1-NORM.S.DIST((LN(B288)-CHOOSE(MATCH(Inputs!$B$3,{"weibull","lognormal","loglogistic"},0),Inputs!$D$7,Inputs!$D$9,Inputs!$D$11))/CHOOSE(MATCH(Inputs!$B$3,{"weibull","lognormal","loglogistic"},0),Inputs!$F$7,Inputs!$F$9,Inputs!$F$11),TRUE))))</f>
        <v/>
      </c>
      <c r="D288">
        <f>IF(B288=0,1,IF(Inputs!$B$3="weibull",EXP(-(B288/CHOOSE(MATCH(Inputs!$B$3,{"weibull","lognormal","loglogistic"},0),Inputs!$F$8,Inputs!$F$10,Inputs!$F$12))^CHOOSE(MATCH(Inputs!$B$3,{"weibull","lognormal","loglogistic"},0),Inputs!$D$8,Inputs!$D$10,Inputs!$D$12)),IF(Inputs!$B$3="loglogistic",1/(1+(B288/CHOOSE(MATCH(Inputs!$B$3,{"weibull","lognormal","loglogistic"},0),Inputs!$F$8,Inputs!$F$10,Inputs!$F$12))^CHOOSE(MATCH(Inputs!$B$3,{"weibull","lognormal","loglogistic"},0),Inputs!$D$8,Inputs!$D$10,Inputs!$D$12)),1-NORM.S.DIST((LN(B288)-CHOOSE(MATCH(Inputs!$B$3,{"weibull","lognormal","loglogistic"},0),Inputs!$D$8,Inputs!$D$10,Inputs!$D$12))/CHOOSE(MATCH(Inputs!$B$3,{"weibull","lognormal","loglogistic"},0),Inputs!$F$8,Inputs!$F$10,Inputs!$F$12),TRUE))))</f>
        <v/>
      </c>
      <c r="E288">
        <f>(C287+C288)/2/12</f>
        <v/>
      </c>
      <c r="F288">
        <f>(D287+D288)/2/12</f>
        <v/>
      </c>
    </row>
    <row r="289">
      <c r="A289" t="n">
        <v>287</v>
      </c>
      <c r="B289">
        <f>A289/12</f>
        <v/>
      </c>
      <c r="C289">
        <f>IF(B289=0,1,IF(Inputs!$B$3="weibull",EXP(-(B289/CHOOSE(MATCH(Inputs!$B$3,{"weibull","lognormal","loglogistic"},0),Inputs!$F$7,Inputs!$F$9,Inputs!$F$11))^CHOOSE(MATCH(Inputs!$B$3,{"weibull","lognormal","loglogistic"},0),Inputs!$D$7,Inputs!$D$9,Inputs!$D$11)),IF(Inputs!$B$3="loglogistic",1/(1+(B289/CHOOSE(MATCH(Inputs!$B$3,{"weibull","lognormal","loglogistic"},0),Inputs!$F$7,Inputs!$F$9,Inputs!$F$11))^CHOOSE(MATCH(Inputs!$B$3,{"weibull","lognormal","loglogistic"},0),Inputs!$D$7,Inputs!$D$9,Inputs!$D$11)),1-NORM.S.DIST((LN(B289)-CHOOSE(MATCH(Inputs!$B$3,{"weibull","lognormal","loglogistic"},0),Inputs!$D$7,Inputs!$D$9,Inputs!$D$11))/CHOOSE(MATCH(Inputs!$B$3,{"weibull","lognormal","loglogistic"},0),Inputs!$F$7,Inputs!$F$9,Inputs!$F$11),TRUE))))</f>
        <v/>
      </c>
      <c r="D289">
        <f>IF(B289=0,1,IF(Inputs!$B$3="weibull",EXP(-(B289/CHOOSE(MATCH(Inputs!$B$3,{"weibull","lognormal","loglogistic"},0),Inputs!$F$8,Inputs!$F$10,Inputs!$F$12))^CHOOSE(MATCH(Inputs!$B$3,{"weibull","lognormal","loglogistic"},0),Inputs!$D$8,Inputs!$D$10,Inputs!$D$12)),IF(Inputs!$B$3="loglogistic",1/(1+(B289/CHOOSE(MATCH(Inputs!$B$3,{"weibull","lognormal","loglogistic"},0),Inputs!$F$8,Inputs!$F$10,Inputs!$F$12))^CHOOSE(MATCH(Inputs!$B$3,{"weibull","lognormal","loglogistic"},0),Inputs!$D$8,Inputs!$D$10,Inputs!$D$12)),1-NORM.S.DIST((LN(B289)-CHOOSE(MATCH(Inputs!$B$3,{"weibull","lognormal","loglogistic"},0),Inputs!$D$8,Inputs!$D$10,Inputs!$D$12))/CHOOSE(MATCH(Inputs!$B$3,{"weibull","lognormal","loglogistic"},0),Inputs!$F$8,Inputs!$F$10,Inputs!$F$12),TRUE))))</f>
        <v/>
      </c>
      <c r="E289">
        <f>(C288+C289)/2/12</f>
        <v/>
      </c>
      <c r="F289">
        <f>(D288+D289)/2/12</f>
        <v/>
      </c>
    </row>
    <row r="290">
      <c r="A290" t="n">
        <v>288</v>
      </c>
      <c r="B290">
        <f>A290/12</f>
        <v/>
      </c>
      <c r="C290">
        <f>IF(B290=0,1,IF(Inputs!$B$3="weibull",EXP(-(B290/CHOOSE(MATCH(Inputs!$B$3,{"weibull","lognormal","loglogistic"},0),Inputs!$F$7,Inputs!$F$9,Inputs!$F$11))^CHOOSE(MATCH(Inputs!$B$3,{"weibull","lognormal","loglogistic"},0),Inputs!$D$7,Inputs!$D$9,Inputs!$D$11)),IF(Inputs!$B$3="loglogistic",1/(1+(B290/CHOOSE(MATCH(Inputs!$B$3,{"weibull","lognormal","loglogistic"},0),Inputs!$F$7,Inputs!$F$9,Inputs!$F$11))^CHOOSE(MATCH(Inputs!$B$3,{"weibull","lognormal","loglogistic"},0),Inputs!$D$7,Inputs!$D$9,Inputs!$D$11)),1-NORM.S.DIST((LN(B290)-CHOOSE(MATCH(Inputs!$B$3,{"weibull","lognormal","loglogistic"},0),Inputs!$D$7,Inputs!$D$9,Inputs!$D$11))/CHOOSE(MATCH(Inputs!$B$3,{"weibull","lognormal","loglogistic"},0),Inputs!$F$7,Inputs!$F$9,Inputs!$F$11),TRUE))))</f>
        <v/>
      </c>
      <c r="D290">
        <f>IF(B290=0,1,IF(Inputs!$B$3="weibull",EXP(-(B290/CHOOSE(MATCH(Inputs!$B$3,{"weibull","lognormal","loglogistic"},0),Inputs!$F$8,Inputs!$F$10,Inputs!$F$12))^CHOOSE(MATCH(Inputs!$B$3,{"weibull","lognormal","loglogistic"},0),Inputs!$D$8,Inputs!$D$10,Inputs!$D$12)),IF(Inputs!$B$3="loglogistic",1/(1+(B290/CHOOSE(MATCH(Inputs!$B$3,{"weibull","lognormal","loglogistic"},0),Inputs!$F$8,Inputs!$F$10,Inputs!$F$12))^CHOOSE(MATCH(Inputs!$B$3,{"weibull","lognormal","loglogistic"},0),Inputs!$D$8,Inputs!$D$10,Inputs!$D$12)),1-NORM.S.DIST((LN(B290)-CHOOSE(MATCH(Inputs!$B$3,{"weibull","lognormal","loglogistic"},0),Inputs!$D$8,Inputs!$D$10,Inputs!$D$12))/CHOOSE(MATCH(Inputs!$B$3,{"weibull","lognormal","loglogistic"},0),Inputs!$F$8,Inputs!$F$10,Inputs!$F$12),TRUE))))</f>
        <v/>
      </c>
      <c r="E290">
        <f>(C289+C290)/2/12</f>
        <v/>
      </c>
      <c r="F290">
        <f>(D289+D290)/2/12</f>
        <v/>
      </c>
    </row>
    <row r="291">
      <c r="A291" t="n">
        <v>289</v>
      </c>
      <c r="B291">
        <f>A291/12</f>
        <v/>
      </c>
      <c r="C291">
        <f>IF(B291=0,1,IF(Inputs!$B$3="weibull",EXP(-(B291/CHOOSE(MATCH(Inputs!$B$3,{"weibull","lognormal","loglogistic"},0),Inputs!$F$7,Inputs!$F$9,Inputs!$F$11))^CHOOSE(MATCH(Inputs!$B$3,{"weibull","lognormal","loglogistic"},0),Inputs!$D$7,Inputs!$D$9,Inputs!$D$11)),IF(Inputs!$B$3="loglogistic",1/(1+(B291/CHOOSE(MATCH(Inputs!$B$3,{"weibull","lognormal","loglogistic"},0),Inputs!$F$7,Inputs!$F$9,Inputs!$F$11))^CHOOSE(MATCH(Inputs!$B$3,{"weibull","lognormal","loglogistic"},0),Inputs!$D$7,Inputs!$D$9,Inputs!$D$11)),1-NORM.S.DIST((LN(B291)-CHOOSE(MATCH(Inputs!$B$3,{"weibull","lognormal","loglogistic"},0),Inputs!$D$7,Inputs!$D$9,Inputs!$D$11))/CHOOSE(MATCH(Inputs!$B$3,{"weibull","lognormal","loglogistic"},0),Inputs!$F$7,Inputs!$F$9,Inputs!$F$11),TRUE))))</f>
        <v/>
      </c>
      <c r="D291">
        <f>IF(B291=0,1,IF(Inputs!$B$3="weibull",EXP(-(B291/CHOOSE(MATCH(Inputs!$B$3,{"weibull","lognormal","loglogistic"},0),Inputs!$F$8,Inputs!$F$10,Inputs!$F$12))^CHOOSE(MATCH(Inputs!$B$3,{"weibull","lognormal","loglogistic"},0),Inputs!$D$8,Inputs!$D$10,Inputs!$D$12)),IF(Inputs!$B$3="loglogistic",1/(1+(B291/CHOOSE(MATCH(Inputs!$B$3,{"weibull","lognormal","loglogistic"},0),Inputs!$F$8,Inputs!$F$10,Inputs!$F$12))^CHOOSE(MATCH(Inputs!$B$3,{"weibull","lognormal","loglogistic"},0),Inputs!$D$8,Inputs!$D$10,Inputs!$D$12)),1-NORM.S.DIST((LN(B291)-CHOOSE(MATCH(Inputs!$B$3,{"weibull","lognormal","loglogistic"},0),Inputs!$D$8,Inputs!$D$10,Inputs!$D$12))/CHOOSE(MATCH(Inputs!$B$3,{"weibull","lognormal","loglogistic"},0),Inputs!$F$8,Inputs!$F$10,Inputs!$F$12),TRUE))))</f>
        <v/>
      </c>
      <c r="E291">
        <f>(C290+C291)/2/12</f>
        <v/>
      </c>
      <c r="F291">
        <f>(D290+D291)/2/12</f>
        <v/>
      </c>
    </row>
    <row r="292">
      <c r="A292" t="n">
        <v>290</v>
      </c>
      <c r="B292">
        <f>A292/12</f>
        <v/>
      </c>
      <c r="C292">
        <f>IF(B292=0,1,IF(Inputs!$B$3="weibull",EXP(-(B292/CHOOSE(MATCH(Inputs!$B$3,{"weibull","lognormal","loglogistic"},0),Inputs!$F$7,Inputs!$F$9,Inputs!$F$11))^CHOOSE(MATCH(Inputs!$B$3,{"weibull","lognormal","loglogistic"},0),Inputs!$D$7,Inputs!$D$9,Inputs!$D$11)),IF(Inputs!$B$3="loglogistic",1/(1+(B292/CHOOSE(MATCH(Inputs!$B$3,{"weibull","lognormal","loglogistic"},0),Inputs!$F$7,Inputs!$F$9,Inputs!$F$11))^CHOOSE(MATCH(Inputs!$B$3,{"weibull","lognormal","loglogistic"},0),Inputs!$D$7,Inputs!$D$9,Inputs!$D$11)),1-NORM.S.DIST((LN(B292)-CHOOSE(MATCH(Inputs!$B$3,{"weibull","lognormal","loglogistic"},0),Inputs!$D$7,Inputs!$D$9,Inputs!$D$11))/CHOOSE(MATCH(Inputs!$B$3,{"weibull","lognormal","loglogistic"},0),Inputs!$F$7,Inputs!$F$9,Inputs!$F$11),TRUE))))</f>
        <v/>
      </c>
      <c r="D292">
        <f>IF(B292=0,1,IF(Inputs!$B$3="weibull",EXP(-(B292/CHOOSE(MATCH(Inputs!$B$3,{"weibull","lognormal","loglogistic"},0),Inputs!$F$8,Inputs!$F$10,Inputs!$F$12))^CHOOSE(MATCH(Inputs!$B$3,{"weibull","lognormal","loglogistic"},0),Inputs!$D$8,Inputs!$D$10,Inputs!$D$12)),IF(Inputs!$B$3="loglogistic",1/(1+(B292/CHOOSE(MATCH(Inputs!$B$3,{"weibull","lognormal","loglogistic"},0),Inputs!$F$8,Inputs!$F$10,Inputs!$F$12))^CHOOSE(MATCH(Inputs!$B$3,{"weibull","lognormal","loglogistic"},0),Inputs!$D$8,Inputs!$D$10,Inputs!$D$12)),1-NORM.S.DIST((LN(B292)-CHOOSE(MATCH(Inputs!$B$3,{"weibull","lognormal","loglogistic"},0),Inputs!$D$8,Inputs!$D$10,Inputs!$D$12))/CHOOSE(MATCH(Inputs!$B$3,{"weibull","lognormal","loglogistic"},0),Inputs!$F$8,Inputs!$F$10,Inputs!$F$12),TRUE))))</f>
        <v/>
      </c>
      <c r="E292">
        <f>(C291+C292)/2/12</f>
        <v/>
      </c>
      <c r="F292">
        <f>(D291+D292)/2/12</f>
        <v/>
      </c>
    </row>
    <row r="293">
      <c r="A293" t="n">
        <v>291</v>
      </c>
      <c r="B293">
        <f>A293/12</f>
        <v/>
      </c>
      <c r="C293">
        <f>IF(B293=0,1,IF(Inputs!$B$3="weibull",EXP(-(B293/CHOOSE(MATCH(Inputs!$B$3,{"weibull","lognormal","loglogistic"},0),Inputs!$F$7,Inputs!$F$9,Inputs!$F$11))^CHOOSE(MATCH(Inputs!$B$3,{"weibull","lognormal","loglogistic"},0),Inputs!$D$7,Inputs!$D$9,Inputs!$D$11)),IF(Inputs!$B$3="loglogistic",1/(1+(B293/CHOOSE(MATCH(Inputs!$B$3,{"weibull","lognormal","loglogistic"},0),Inputs!$F$7,Inputs!$F$9,Inputs!$F$11))^CHOOSE(MATCH(Inputs!$B$3,{"weibull","lognormal","loglogistic"},0),Inputs!$D$7,Inputs!$D$9,Inputs!$D$11)),1-NORM.S.DIST((LN(B293)-CHOOSE(MATCH(Inputs!$B$3,{"weibull","lognormal","loglogistic"},0),Inputs!$D$7,Inputs!$D$9,Inputs!$D$11))/CHOOSE(MATCH(Inputs!$B$3,{"weibull","lognormal","loglogistic"},0),Inputs!$F$7,Inputs!$F$9,Inputs!$F$11),TRUE))))</f>
        <v/>
      </c>
      <c r="D293">
        <f>IF(B293=0,1,IF(Inputs!$B$3="weibull",EXP(-(B293/CHOOSE(MATCH(Inputs!$B$3,{"weibull","lognormal","loglogistic"},0),Inputs!$F$8,Inputs!$F$10,Inputs!$F$12))^CHOOSE(MATCH(Inputs!$B$3,{"weibull","lognormal","loglogistic"},0),Inputs!$D$8,Inputs!$D$10,Inputs!$D$12)),IF(Inputs!$B$3="loglogistic",1/(1+(B293/CHOOSE(MATCH(Inputs!$B$3,{"weibull","lognormal","loglogistic"},0),Inputs!$F$8,Inputs!$F$10,Inputs!$F$12))^CHOOSE(MATCH(Inputs!$B$3,{"weibull","lognormal","loglogistic"},0),Inputs!$D$8,Inputs!$D$10,Inputs!$D$12)),1-NORM.S.DIST((LN(B293)-CHOOSE(MATCH(Inputs!$B$3,{"weibull","lognormal","loglogistic"},0),Inputs!$D$8,Inputs!$D$10,Inputs!$D$12))/CHOOSE(MATCH(Inputs!$B$3,{"weibull","lognormal","loglogistic"},0),Inputs!$F$8,Inputs!$F$10,Inputs!$F$12),TRUE))))</f>
        <v/>
      </c>
      <c r="E293">
        <f>(C292+C293)/2/12</f>
        <v/>
      </c>
      <c r="F293">
        <f>(D292+D293)/2/12</f>
        <v/>
      </c>
    </row>
    <row r="294">
      <c r="A294" t="n">
        <v>292</v>
      </c>
      <c r="B294">
        <f>A294/12</f>
        <v/>
      </c>
      <c r="C294">
        <f>IF(B294=0,1,IF(Inputs!$B$3="weibull",EXP(-(B294/CHOOSE(MATCH(Inputs!$B$3,{"weibull","lognormal","loglogistic"},0),Inputs!$F$7,Inputs!$F$9,Inputs!$F$11))^CHOOSE(MATCH(Inputs!$B$3,{"weibull","lognormal","loglogistic"},0),Inputs!$D$7,Inputs!$D$9,Inputs!$D$11)),IF(Inputs!$B$3="loglogistic",1/(1+(B294/CHOOSE(MATCH(Inputs!$B$3,{"weibull","lognormal","loglogistic"},0),Inputs!$F$7,Inputs!$F$9,Inputs!$F$11))^CHOOSE(MATCH(Inputs!$B$3,{"weibull","lognormal","loglogistic"},0),Inputs!$D$7,Inputs!$D$9,Inputs!$D$11)),1-NORM.S.DIST((LN(B294)-CHOOSE(MATCH(Inputs!$B$3,{"weibull","lognormal","loglogistic"},0),Inputs!$D$7,Inputs!$D$9,Inputs!$D$11))/CHOOSE(MATCH(Inputs!$B$3,{"weibull","lognormal","loglogistic"},0),Inputs!$F$7,Inputs!$F$9,Inputs!$F$11),TRUE))))</f>
        <v/>
      </c>
      <c r="D294">
        <f>IF(B294=0,1,IF(Inputs!$B$3="weibull",EXP(-(B294/CHOOSE(MATCH(Inputs!$B$3,{"weibull","lognormal","loglogistic"},0),Inputs!$F$8,Inputs!$F$10,Inputs!$F$12))^CHOOSE(MATCH(Inputs!$B$3,{"weibull","lognormal","loglogistic"},0),Inputs!$D$8,Inputs!$D$10,Inputs!$D$12)),IF(Inputs!$B$3="loglogistic",1/(1+(B294/CHOOSE(MATCH(Inputs!$B$3,{"weibull","lognormal","loglogistic"},0),Inputs!$F$8,Inputs!$F$10,Inputs!$F$12))^CHOOSE(MATCH(Inputs!$B$3,{"weibull","lognormal","loglogistic"},0),Inputs!$D$8,Inputs!$D$10,Inputs!$D$12)),1-NORM.S.DIST((LN(B294)-CHOOSE(MATCH(Inputs!$B$3,{"weibull","lognormal","loglogistic"},0),Inputs!$D$8,Inputs!$D$10,Inputs!$D$12))/CHOOSE(MATCH(Inputs!$B$3,{"weibull","lognormal","loglogistic"},0),Inputs!$F$8,Inputs!$F$10,Inputs!$F$12),TRUE))))</f>
        <v/>
      </c>
      <c r="E294">
        <f>(C293+C294)/2/12</f>
        <v/>
      </c>
      <c r="F294">
        <f>(D293+D294)/2/12</f>
        <v/>
      </c>
    </row>
    <row r="295">
      <c r="A295" t="n">
        <v>293</v>
      </c>
      <c r="B295">
        <f>A295/12</f>
        <v/>
      </c>
      <c r="C295">
        <f>IF(B295=0,1,IF(Inputs!$B$3="weibull",EXP(-(B295/CHOOSE(MATCH(Inputs!$B$3,{"weibull","lognormal","loglogistic"},0),Inputs!$F$7,Inputs!$F$9,Inputs!$F$11))^CHOOSE(MATCH(Inputs!$B$3,{"weibull","lognormal","loglogistic"},0),Inputs!$D$7,Inputs!$D$9,Inputs!$D$11)),IF(Inputs!$B$3="loglogistic",1/(1+(B295/CHOOSE(MATCH(Inputs!$B$3,{"weibull","lognormal","loglogistic"},0),Inputs!$F$7,Inputs!$F$9,Inputs!$F$11))^CHOOSE(MATCH(Inputs!$B$3,{"weibull","lognormal","loglogistic"},0),Inputs!$D$7,Inputs!$D$9,Inputs!$D$11)),1-NORM.S.DIST((LN(B295)-CHOOSE(MATCH(Inputs!$B$3,{"weibull","lognormal","loglogistic"},0),Inputs!$D$7,Inputs!$D$9,Inputs!$D$11))/CHOOSE(MATCH(Inputs!$B$3,{"weibull","lognormal","loglogistic"},0),Inputs!$F$7,Inputs!$F$9,Inputs!$F$11),TRUE))))</f>
        <v/>
      </c>
      <c r="D295">
        <f>IF(B295=0,1,IF(Inputs!$B$3="weibull",EXP(-(B295/CHOOSE(MATCH(Inputs!$B$3,{"weibull","lognormal","loglogistic"},0),Inputs!$F$8,Inputs!$F$10,Inputs!$F$12))^CHOOSE(MATCH(Inputs!$B$3,{"weibull","lognormal","loglogistic"},0),Inputs!$D$8,Inputs!$D$10,Inputs!$D$12)),IF(Inputs!$B$3="loglogistic",1/(1+(B295/CHOOSE(MATCH(Inputs!$B$3,{"weibull","lognormal","loglogistic"},0),Inputs!$F$8,Inputs!$F$10,Inputs!$F$12))^CHOOSE(MATCH(Inputs!$B$3,{"weibull","lognormal","loglogistic"},0),Inputs!$D$8,Inputs!$D$10,Inputs!$D$12)),1-NORM.S.DIST((LN(B295)-CHOOSE(MATCH(Inputs!$B$3,{"weibull","lognormal","loglogistic"},0),Inputs!$D$8,Inputs!$D$10,Inputs!$D$12))/CHOOSE(MATCH(Inputs!$B$3,{"weibull","lognormal","loglogistic"},0),Inputs!$F$8,Inputs!$F$10,Inputs!$F$12),TRUE))))</f>
        <v/>
      </c>
      <c r="E295">
        <f>(C294+C295)/2/12</f>
        <v/>
      </c>
      <c r="F295">
        <f>(D294+D295)/2/12</f>
        <v/>
      </c>
    </row>
    <row r="296">
      <c r="A296" t="n">
        <v>294</v>
      </c>
      <c r="B296">
        <f>A296/12</f>
        <v/>
      </c>
      <c r="C296">
        <f>IF(B296=0,1,IF(Inputs!$B$3="weibull",EXP(-(B296/CHOOSE(MATCH(Inputs!$B$3,{"weibull","lognormal","loglogistic"},0),Inputs!$F$7,Inputs!$F$9,Inputs!$F$11))^CHOOSE(MATCH(Inputs!$B$3,{"weibull","lognormal","loglogistic"},0),Inputs!$D$7,Inputs!$D$9,Inputs!$D$11)),IF(Inputs!$B$3="loglogistic",1/(1+(B296/CHOOSE(MATCH(Inputs!$B$3,{"weibull","lognormal","loglogistic"},0),Inputs!$F$7,Inputs!$F$9,Inputs!$F$11))^CHOOSE(MATCH(Inputs!$B$3,{"weibull","lognormal","loglogistic"},0),Inputs!$D$7,Inputs!$D$9,Inputs!$D$11)),1-NORM.S.DIST((LN(B296)-CHOOSE(MATCH(Inputs!$B$3,{"weibull","lognormal","loglogistic"},0),Inputs!$D$7,Inputs!$D$9,Inputs!$D$11))/CHOOSE(MATCH(Inputs!$B$3,{"weibull","lognormal","loglogistic"},0),Inputs!$F$7,Inputs!$F$9,Inputs!$F$11),TRUE))))</f>
        <v/>
      </c>
      <c r="D296">
        <f>IF(B296=0,1,IF(Inputs!$B$3="weibull",EXP(-(B296/CHOOSE(MATCH(Inputs!$B$3,{"weibull","lognormal","loglogistic"},0),Inputs!$F$8,Inputs!$F$10,Inputs!$F$12))^CHOOSE(MATCH(Inputs!$B$3,{"weibull","lognormal","loglogistic"},0),Inputs!$D$8,Inputs!$D$10,Inputs!$D$12)),IF(Inputs!$B$3="loglogistic",1/(1+(B296/CHOOSE(MATCH(Inputs!$B$3,{"weibull","lognormal","loglogistic"},0),Inputs!$F$8,Inputs!$F$10,Inputs!$F$12))^CHOOSE(MATCH(Inputs!$B$3,{"weibull","lognormal","loglogistic"},0),Inputs!$D$8,Inputs!$D$10,Inputs!$D$12)),1-NORM.S.DIST((LN(B296)-CHOOSE(MATCH(Inputs!$B$3,{"weibull","lognormal","loglogistic"},0),Inputs!$D$8,Inputs!$D$10,Inputs!$D$12))/CHOOSE(MATCH(Inputs!$B$3,{"weibull","lognormal","loglogistic"},0),Inputs!$F$8,Inputs!$F$10,Inputs!$F$12),TRUE))))</f>
        <v/>
      </c>
      <c r="E296">
        <f>(C295+C296)/2/12</f>
        <v/>
      </c>
      <c r="F296">
        <f>(D295+D296)/2/12</f>
        <v/>
      </c>
    </row>
    <row r="297">
      <c r="A297" t="n">
        <v>295</v>
      </c>
      <c r="B297">
        <f>A297/12</f>
        <v/>
      </c>
      <c r="C297">
        <f>IF(B297=0,1,IF(Inputs!$B$3="weibull",EXP(-(B297/CHOOSE(MATCH(Inputs!$B$3,{"weibull","lognormal","loglogistic"},0),Inputs!$F$7,Inputs!$F$9,Inputs!$F$11))^CHOOSE(MATCH(Inputs!$B$3,{"weibull","lognormal","loglogistic"},0),Inputs!$D$7,Inputs!$D$9,Inputs!$D$11)),IF(Inputs!$B$3="loglogistic",1/(1+(B297/CHOOSE(MATCH(Inputs!$B$3,{"weibull","lognormal","loglogistic"},0),Inputs!$F$7,Inputs!$F$9,Inputs!$F$11))^CHOOSE(MATCH(Inputs!$B$3,{"weibull","lognormal","loglogistic"},0),Inputs!$D$7,Inputs!$D$9,Inputs!$D$11)),1-NORM.S.DIST((LN(B297)-CHOOSE(MATCH(Inputs!$B$3,{"weibull","lognormal","loglogistic"},0),Inputs!$D$7,Inputs!$D$9,Inputs!$D$11))/CHOOSE(MATCH(Inputs!$B$3,{"weibull","lognormal","loglogistic"},0),Inputs!$F$7,Inputs!$F$9,Inputs!$F$11),TRUE))))</f>
        <v/>
      </c>
      <c r="D297">
        <f>IF(B297=0,1,IF(Inputs!$B$3="weibull",EXP(-(B297/CHOOSE(MATCH(Inputs!$B$3,{"weibull","lognormal","loglogistic"},0),Inputs!$F$8,Inputs!$F$10,Inputs!$F$12))^CHOOSE(MATCH(Inputs!$B$3,{"weibull","lognormal","loglogistic"},0),Inputs!$D$8,Inputs!$D$10,Inputs!$D$12)),IF(Inputs!$B$3="loglogistic",1/(1+(B297/CHOOSE(MATCH(Inputs!$B$3,{"weibull","lognormal","loglogistic"},0),Inputs!$F$8,Inputs!$F$10,Inputs!$F$12))^CHOOSE(MATCH(Inputs!$B$3,{"weibull","lognormal","loglogistic"},0),Inputs!$D$8,Inputs!$D$10,Inputs!$D$12)),1-NORM.S.DIST((LN(B297)-CHOOSE(MATCH(Inputs!$B$3,{"weibull","lognormal","loglogistic"},0),Inputs!$D$8,Inputs!$D$10,Inputs!$D$12))/CHOOSE(MATCH(Inputs!$B$3,{"weibull","lognormal","loglogistic"},0),Inputs!$F$8,Inputs!$F$10,Inputs!$F$12),TRUE))))</f>
        <v/>
      </c>
      <c r="E297">
        <f>(C296+C297)/2/12</f>
        <v/>
      </c>
      <c r="F297">
        <f>(D296+D297)/2/12</f>
        <v/>
      </c>
    </row>
    <row r="298">
      <c r="A298" t="n">
        <v>296</v>
      </c>
      <c r="B298">
        <f>A298/12</f>
        <v/>
      </c>
      <c r="C298">
        <f>IF(B298=0,1,IF(Inputs!$B$3="weibull",EXP(-(B298/CHOOSE(MATCH(Inputs!$B$3,{"weibull","lognormal","loglogistic"},0),Inputs!$F$7,Inputs!$F$9,Inputs!$F$11))^CHOOSE(MATCH(Inputs!$B$3,{"weibull","lognormal","loglogistic"},0),Inputs!$D$7,Inputs!$D$9,Inputs!$D$11)),IF(Inputs!$B$3="loglogistic",1/(1+(B298/CHOOSE(MATCH(Inputs!$B$3,{"weibull","lognormal","loglogistic"},0),Inputs!$F$7,Inputs!$F$9,Inputs!$F$11))^CHOOSE(MATCH(Inputs!$B$3,{"weibull","lognormal","loglogistic"},0),Inputs!$D$7,Inputs!$D$9,Inputs!$D$11)),1-NORM.S.DIST((LN(B298)-CHOOSE(MATCH(Inputs!$B$3,{"weibull","lognormal","loglogistic"},0),Inputs!$D$7,Inputs!$D$9,Inputs!$D$11))/CHOOSE(MATCH(Inputs!$B$3,{"weibull","lognormal","loglogistic"},0),Inputs!$F$7,Inputs!$F$9,Inputs!$F$11),TRUE))))</f>
        <v/>
      </c>
      <c r="D298">
        <f>IF(B298=0,1,IF(Inputs!$B$3="weibull",EXP(-(B298/CHOOSE(MATCH(Inputs!$B$3,{"weibull","lognormal","loglogistic"},0),Inputs!$F$8,Inputs!$F$10,Inputs!$F$12))^CHOOSE(MATCH(Inputs!$B$3,{"weibull","lognormal","loglogistic"},0),Inputs!$D$8,Inputs!$D$10,Inputs!$D$12)),IF(Inputs!$B$3="loglogistic",1/(1+(B298/CHOOSE(MATCH(Inputs!$B$3,{"weibull","lognormal","loglogistic"},0),Inputs!$F$8,Inputs!$F$10,Inputs!$F$12))^CHOOSE(MATCH(Inputs!$B$3,{"weibull","lognormal","loglogistic"},0),Inputs!$D$8,Inputs!$D$10,Inputs!$D$12)),1-NORM.S.DIST((LN(B298)-CHOOSE(MATCH(Inputs!$B$3,{"weibull","lognormal","loglogistic"},0),Inputs!$D$8,Inputs!$D$10,Inputs!$D$12))/CHOOSE(MATCH(Inputs!$B$3,{"weibull","lognormal","loglogistic"},0),Inputs!$F$8,Inputs!$F$10,Inputs!$F$12),TRUE))))</f>
        <v/>
      </c>
      <c r="E298">
        <f>(C297+C298)/2/12</f>
        <v/>
      </c>
      <c r="F298">
        <f>(D297+D298)/2/12</f>
        <v/>
      </c>
    </row>
    <row r="299">
      <c r="A299" t="n">
        <v>297</v>
      </c>
      <c r="B299">
        <f>A299/12</f>
        <v/>
      </c>
      <c r="C299">
        <f>IF(B299=0,1,IF(Inputs!$B$3="weibull",EXP(-(B299/CHOOSE(MATCH(Inputs!$B$3,{"weibull","lognormal","loglogistic"},0),Inputs!$F$7,Inputs!$F$9,Inputs!$F$11))^CHOOSE(MATCH(Inputs!$B$3,{"weibull","lognormal","loglogistic"},0),Inputs!$D$7,Inputs!$D$9,Inputs!$D$11)),IF(Inputs!$B$3="loglogistic",1/(1+(B299/CHOOSE(MATCH(Inputs!$B$3,{"weibull","lognormal","loglogistic"},0),Inputs!$F$7,Inputs!$F$9,Inputs!$F$11))^CHOOSE(MATCH(Inputs!$B$3,{"weibull","lognormal","loglogistic"},0),Inputs!$D$7,Inputs!$D$9,Inputs!$D$11)),1-NORM.S.DIST((LN(B299)-CHOOSE(MATCH(Inputs!$B$3,{"weibull","lognormal","loglogistic"},0),Inputs!$D$7,Inputs!$D$9,Inputs!$D$11))/CHOOSE(MATCH(Inputs!$B$3,{"weibull","lognormal","loglogistic"},0),Inputs!$F$7,Inputs!$F$9,Inputs!$F$11),TRUE))))</f>
        <v/>
      </c>
      <c r="D299">
        <f>IF(B299=0,1,IF(Inputs!$B$3="weibull",EXP(-(B299/CHOOSE(MATCH(Inputs!$B$3,{"weibull","lognormal","loglogistic"},0),Inputs!$F$8,Inputs!$F$10,Inputs!$F$12))^CHOOSE(MATCH(Inputs!$B$3,{"weibull","lognormal","loglogistic"},0),Inputs!$D$8,Inputs!$D$10,Inputs!$D$12)),IF(Inputs!$B$3="loglogistic",1/(1+(B299/CHOOSE(MATCH(Inputs!$B$3,{"weibull","lognormal","loglogistic"},0),Inputs!$F$8,Inputs!$F$10,Inputs!$F$12))^CHOOSE(MATCH(Inputs!$B$3,{"weibull","lognormal","loglogistic"},0),Inputs!$D$8,Inputs!$D$10,Inputs!$D$12)),1-NORM.S.DIST((LN(B299)-CHOOSE(MATCH(Inputs!$B$3,{"weibull","lognormal","loglogistic"},0),Inputs!$D$8,Inputs!$D$10,Inputs!$D$12))/CHOOSE(MATCH(Inputs!$B$3,{"weibull","lognormal","loglogistic"},0),Inputs!$F$8,Inputs!$F$10,Inputs!$F$12),TRUE))))</f>
        <v/>
      </c>
      <c r="E299">
        <f>(C298+C299)/2/12</f>
        <v/>
      </c>
      <c r="F299">
        <f>(D298+D299)/2/12</f>
        <v/>
      </c>
    </row>
    <row r="300">
      <c r="A300" t="n">
        <v>298</v>
      </c>
      <c r="B300">
        <f>A300/12</f>
        <v/>
      </c>
      <c r="C300">
        <f>IF(B300=0,1,IF(Inputs!$B$3="weibull",EXP(-(B300/CHOOSE(MATCH(Inputs!$B$3,{"weibull","lognormal","loglogistic"},0),Inputs!$F$7,Inputs!$F$9,Inputs!$F$11))^CHOOSE(MATCH(Inputs!$B$3,{"weibull","lognormal","loglogistic"},0),Inputs!$D$7,Inputs!$D$9,Inputs!$D$11)),IF(Inputs!$B$3="loglogistic",1/(1+(B300/CHOOSE(MATCH(Inputs!$B$3,{"weibull","lognormal","loglogistic"},0),Inputs!$F$7,Inputs!$F$9,Inputs!$F$11))^CHOOSE(MATCH(Inputs!$B$3,{"weibull","lognormal","loglogistic"},0),Inputs!$D$7,Inputs!$D$9,Inputs!$D$11)),1-NORM.S.DIST((LN(B300)-CHOOSE(MATCH(Inputs!$B$3,{"weibull","lognormal","loglogistic"},0),Inputs!$D$7,Inputs!$D$9,Inputs!$D$11))/CHOOSE(MATCH(Inputs!$B$3,{"weibull","lognormal","loglogistic"},0),Inputs!$F$7,Inputs!$F$9,Inputs!$F$11),TRUE))))</f>
        <v/>
      </c>
      <c r="D300">
        <f>IF(B300=0,1,IF(Inputs!$B$3="weibull",EXP(-(B300/CHOOSE(MATCH(Inputs!$B$3,{"weibull","lognormal","loglogistic"},0),Inputs!$F$8,Inputs!$F$10,Inputs!$F$12))^CHOOSE(MATCH(Inputs!$B$3,{"weibull","lognormal","loglogistic"},0),Inputs!$D$8,Inputs!$D$10,Inputs!$D$12)),IF(Inputs!$B$3="loglogistic",1/(1+(B300/CHOOSE(MATCH(Inputs!$B$3,{"weibull","lognormal","loglogistic"},0),Inputs!$F$8,Inputs!$F$10,Inputs!$F$12))^CHOOSE(MATCH(Inputs!$B$3,{"weibull","lognormal","loglogistic"},0),Inputs!$D$8,Inputs!$D$10,Inputs!$D$12)),1-NORM.S.DIST((LN(B300)-CHOOSE(MATCH(Inputs!$B$3,{"weibull","lognormal","loglogistic"},0),Inputs!$D$8,Inputs!$D$10,Inputs!$D$12))/CHOOSE(MATCH(Inputs!$B$3,{"weibull","lognormal","loglogistic"},0),Inputs!$F$8,Inputs!$F$10,Inputs!$F$12),TRUE))))</f>
        <v/>
      </c>
      <c r="E300">
        <f>(C299+C300)/2/12</f>
        <v/>
      </c>
      <c r="F300">
        <f>(D299+D300)/2/12</f>
        <v/>
      </c>
    </row>
    <row r="301">
      <c r="A301" t="n">
        <v>299</v>
      </c>
      <c r="B301">
        <f>A301/12</f>
        <v/>
      </c>
      <c r="C301">
        <f>IF(B301=0,1,IF(Inputs!$B$3="weibull",EXP(-(B301/CHOOSE(MATCH(Inputs!$B$3,{"weibull","lognormal","loglogistic"},0),Inputs!$F$7,Inputs!$F$9,Inputs!$F$11))^CHOOSE(MATCH(Inputs!$B$3,{"weibull","lognormal","loglogistic"},0),Inputs!$D$7,Inputs!$D$9,Inputs!$D$11)),IF(Inputs!$B$3="loglogistic",1/(1+(B301/CHOOSE(MATCH(Inputs!$B$3,{"weibull","lognormal","loglogistic"},0),Inputs!$F$7,Inputs!$F$9,Inputs!$F$11))^CHOOSE(MATCH(Inputs!$B$3,{"weibull","lognormal","loglogistic"},0),Inputs!$D$7,Inputs!$D$9,Inputs!$D$11)),1-NORM.S.DIST((LN(B301)-CHOOSE(MATCH(Inputs!$B$3,{"weibull","lognormal","loglogistic"},0),Inputs!$D$7,Inputs!$D$9,Inputs!$D$11))/CHOOSE(MATCH(Inputs!$B$3,{"weibull","lognormal","loglogistic"},0),Inputs!$F$7,Inputs!$F$9,Inputs!$F$11),TRUE))))</f>
        <v/>
      </c>
      <c r="D301">
        <f>IF(B301=0,1,IF(Inputs!$B$3="weibull",EXP(-(B301/CHOOSE(MATCH(Inputs!$B$3,{"weibull","lognormal","loglogistic"},0),Inputs!$F$8,Inputs!$F$10,Inputs!$F$12))^CHOOSE(MATCH(Inputs!$B$3,{"weibull","lognormal","loglogistic"},0),Inputs!$D$8,Inputs!$D$10,Inputs!$D$12)),IF(Inputs!$B$3="loglogistic",1/(1+(B301/CHOOSE(MATCH(Inputs!$B$3,{"weibull","lognormal","loglogistic"},0),Inputs!$F$8,Inputs!$F$10,Inputs!$F$12))^CHOOSE(MATCH(Inputs!$B$3,{"weibull","lognormal","loglogistic"},0),Inputs!$D$8,Inputs!$D$10,Inputs!$D$12)),1-NORM.S.DIST((LN(B301)-CHOOSE(MATCH(Inputs!$B$3,{"weibull","lognormal","loglogistic"},0),Inputs!$D$8,Inputs!$D$10,Inputs!$D$12))/CHOOSE(MATCH(Inputs!$B$3,{"weibull","lognormal","loglogistic"},0),Inputs!$F$8,Inputs!$F$10,Inputs!$F$12),TRUE))))</f>
        <v/>
      </c>
      <c r="E301">
        <f>(C300+C301)/2/12</f>
        <v/>
      </c>
      <c r="F301">
        <f>(D300+D301)/2/12</f>
        <v/>
      </c>
    </row>
    <row r="302">
      <c r="A302" t="n">
        <v>300</v>
      </c>
      <c r="B302">
        <f>A302/12</f>
        <v/>
      </c>
      <c r="C302">
        <f>IF(B302=0,1,IF(Inputs!$B$3="weibull",EXP(-(B302/CHOOSE(MATCH(Inputs!$B$3,{"weibull","lognormal","loglogistic"},0),Inputs!$F$7,Inputs!$F$9,Inputs!$F$11))^CHOOSE(MATCH(Inputs!$B$3,{"weibull","lognormal","loglogistic"},0),Inputs!$D$7,Inputs!$D$9,Inputs!$D$11)),IF(Inputs!$B$3="loglogistic",1/(1+(B302/CHOOSE(MATCH(Inputs!$B$3,{"weibull","lognormal","loglogistic"},0),Inputs!$F$7,Inputs!$F$9,Inputs!$F$11))^CHOOSE(MATCH(Inputs!$B$3,{"weibull","lognormal","loglogistic"},0),Inputs!$D$7,Inputs!$D$9,Inputs!$D$11)),1-NORM.S.DIST((LN(B302)-CHOOSE(MATCH(Inputs!$B$3,{"weibull","lognormal","loglogistic"},0),Inputs!$D$7,Inputs!$D$9,Inputs!$D$11))/CHOOSE(MATCH(Inputs!$B$3,{"weibull","lognormal","loglogistic"},0),Inputs!$F$7,Inputs!$F$9,Inputs!$F$11),TRUE))))</f>
        <v/>
      </c>
      <c r="D302">
        <f>IF(B302=0,1,IF(Inputs!$B$3="weibull",EXP(-(B302/CHOOSE(MATCH(Inputs!$B$3,{"weibull","lognormal","loglogistic"},0),Inputs!$F$8,Inputs!$F$10,Inputs!$F$12))^CHOOSE(MATCH(Inputs!$B$3,{"weibull","lognormal","loglogistic"},0),Inputs!$D$8,Inputs!$D$10,Inputs!$D$12)),IF(Inputs!$B$3="loglogistic",1/(1+(B302/CHOOSE(MATCH(Inputs!$B$3,{"weibull","lognormal","loglogistic"},0),Inputs!$F$8,Inputs!$F$10,Inputs!$F$12))^CHOOSE(MATCH(Inputs!$B$3,{"weibull","lognormal","loglogistic"},0),Inputs!$D$8,Inputs!$D$10,Inputs!$D$12)),1-NORM.S.DIST((LN(B302)-CHOOSE(MATCH(Inputs!$B$3,{"weibull","lognormal","loglogistic"},0),Inputs!$D$8,Inputs!$D$10,Inputs!$D$12))/CHOOSE(MATCH(Inputs!$B$3,{"weibull","lognormal","loglogistic"},0),Inputs!$F$8,Inputs!$F$10,Inputs!$F$12),TRUE))))</f>
        <v/>
      </c>
      <c r="E302">
        <f>(C301+C302)/2/12</f>
        <v/>
      </c>
      <c r="F302">
        <f>(D301+D302)/2/12</f>
        <v/>
      </c>
    </row>
    <row r="303">
      <c r="A303" t="n">
        <v>301</v>
      </c>
      <c r="B303">
        <f>A303/12</f>
        <v/>
      </c>
      <c r="C303">
        <f>IF(B303=0,1,IF(Inputs!$B$3="weibull",EXP(-(B303/CHOOSE(MATCH(Inputs!$B$3,{"weibull","lognormal","loglogistic"},0),Inputs!$F$7,Inputs!$F$9,Inputs!$F$11))^CHOOSE(MATCH(Inputs!$B$3,{"weibull","lognormal","loglogistic"},0),Inputs!$D$7,Inputs!$D$9,Inputs!$D$11)),IF(Inputs!$B$3="loglogistic",1/(1+(B303/CHOOSE(MATCH(Inputs!$B$3,{"weibull","lognormal","loglogistic"},0),Inputs!$F$7,Inputs!$F$9,Inputs!$F$11))^CHOOSE(MATCH(Inputs!$B$3,{"weibull","lognormal","loglogistic"},0),Inputs!$D$7,Inputs!$D$9,Inputs!$D$11)),1-NORM.S.DIST((LN(B303)-CHOOSE(MATCH(Inputs!$B$3,{"weibull","lognormal","loglogistic"},0),Inputs!$D$7,Inputs!$D$9,Inputs!$D$11))/CHOOSE(MATCH(Inputs!$B$3,{"weibull","lognormal","loglogistic"},0),Inputs!$F$7,Inputs!$F$9,Inputs!$F$11),TRUE))))</f>
        <v/>
      </c>
      <c r="D303">
        <f>IF(B303=0,1,IF(Inputs!$B$3="weibull",EXP(-(B303/CHOOSE(MATCH(Inputs!$B$3,{"weibull","lognormal","loglogistic"},0),Inputs!$F$8,Inputs!$F$10,Inputs!$F$12))^CHOOSE(MATCH(Inputs!$B$3,{"weibull","lognormal","loglogistic"},0),Inputs!$D$8,Inputs!$D$10,Inputs!$D$12)),IF(Inputs!$B$3="loglogistic",1/(1+(B303/CHOOSE(MATCH(Inputs!$B$3,{"weibull","lognormal","loglogistic"},0),Inputs!$F$8,Inputs!$F$10,Inputs!$F$12))^CHOOSE(MATCH(Inputs!$B$3,{"weibull","lognormal","loglogistic"},0),Inputs!$D$8,Inputs!$D$10,Inputs!$D$12)),1-NORM.S.DIST((LN(B303)-CHOOSE(MATCH(Inputs!$B$3,{"weibull","lognormal","loglogistic"},0),Inputs!$D$8,Inputs!$D$10,Inputs!$D$12))/CHOOSE(MATCH(Inputs!$B$3,{"weibull","lognormal","loglogistic"},0),Inputs!$F$8,Inputs!$F$10,Inputs!$F$12),TRUE))))</f>
        <v/>
      </c>
      <c r="E303">
        <f>(C302+C303)/2/12</f>
        <v/>
      </c>
      <c r="F303">
        <f>(D302+D303)/2/12</f>
        <v/>
      </c>
    </row>
    <row r="304">
      <c r="A304" t="n">
        <v>302</v>
      </c>
      <c r="B304">
        <f>A304/12</f>
        <v/>
      </c>
      <c r="C304">
        <f>IF(B304=0,1,IF(Inputs!$B$3="weibull",EXP(-(B304/CHOOSE(MATCH(Inputs!$B$3,{"weibull","lognormal","loglogistic"},0),Inputs!$F$7,Inputs!$F$9,Inputs!$F$11))^CHOOSE(MATCH(Inputs!$B$3,{"weibull","lognormal","loglogistic"},0),Inputs!$D$7,Inputs!$D$9,Inputs!$D$11)),IF(Inputs!$B$3="loglogistic",1/(1+(B304/CHOOSE(MATCH(Inputs!$B$3,{"weibull","lognormal","loglogistic"},0),Inputs!$F$7,Inputs!$F$9,Inputs!$F$11))^CHOOSE(MATCH(Inputs!$B$3,{"weibull","lognormal","loglogistic"},0),Inputs!$D$7,Inputs!$D$9,Inputs!$D$11)),1-NORM.S.DIST((LN(B304)-CHOOSE(MATCH(Inputs!$B$3,{"weibull","lognormal","loglogistic"},0),Inputs!$D$7,Inputs!$D$9,Inputs!$D$11))/CHOOSE(MATCH(Inputs!$B$3,{"weibull","lognormal","loglogistic"},0),Inputs!$F$7,Inputs!$F$9,Inputs!$F$11),TRUE))))</f>
        <v/>
      </c>
      <c r="D304">
        <f>IF(B304=0,1,IF(Inputs!$B$3="weibull",EXP(-(B304/CHOOSE(MATCH(Inputs!$B$3,{"weibull","lognormal","loglogistic"},0),Inputs!$F$8,Inputs!$F$10,Inputs!$F$12))^CHOOSE(MATCH(Inputs!$B$3,{"weibull","lognormal","loglogistic"},0),Inputs!$D$8,Inputs!$D$10,Inputs!$D$12)),IF(Inputs!$B$3="loglogistic",1/(1+(B304/CHOOSE(MATCH(Inputs!$B$3,{"weibull","lognormal","loglogistic"},0),Inputs!$F$8,Inputs!$F$10,Inputs!$F$12))^CHOOSE(MATCH(Inputs!$B$3,{"weibull","lognormal","loglogistic"},0),Inputs!$D$8,Inputs!$D$10,Inputs!$D$12)),1-NORM.S.DIST((LN(B304)-CHOOSE(MATCH(Inputs!$B$3,{"weibull","lognormal","loglogistic"},0),Inputs!$D$8,Inputs!$D$10,Inputs!$D$12))/CHOOSE(MATCH(Inputs!$B$3,{"weibull","lognormal","loglogistic"},0),Inputs!$F$8,Inputs!$F$10,Inputs!$F$12),TRUE))))</f>
        <v/>
      </c>
      <c r="E304">
        <f>(C303+C304)/2/12</f>
        <v/>
      </c>
      <c r="F304">
        <f>(D303+D304)/2/12</f>
        <v/>
      </c>
    </row>
    <row r="305">
      <c r="A305" t="n">
        <v>303</v>
      </c>
      <c r="B305">
        <f>A305/12</f>
        <v/>
      </c>
      <c r="C305">
        <f>IF(B305=0,1,IF(Inputs!$B$3="weibull",EXP(-(B305/CHOOSE(MATCH(Inputs!$B$3,{"weibull","lognormal","loglogistic"},0),Inputs!$F$7,Inputs!$F$9,Inputs!$F$11))^CHOOSE(MATCH(Inputs!$B$3,{"weibull","lognormal","loglogistic"},0),Inputs!$D$7,Inputs!$D$9,Inputs!$D$11)),IF(Inputs!$B$3="loglogistic",1/(1+(B305/CHOOSE(MATCH(Inputs!$B$3,{"weibull","lognormal","loglogistic"},0),Inputs!$F$7,Inputs!$F$9,Inputs!$F$11))^CHOOSE(MATCH(Inputs!$B$3,{"weibull","lognormal","loglogistic"},0),Inputs!$D$7,Inputs!$D$9,Inputs!$D$11)),1-NORM.S.DIST((LN(B305)-CHOOSE(MATCH(Inputs!$B$3,{"weibull","lognormal","loglogistic"},0),Inputs!$D$7,Inputs!$D$9,Inputs!$D$11))/CHOOSE(MATCH(Inputs!$B$3,{"weibull","lognormal","loglogistic"},0),Inputs!$F$7,Inputs!$F$9,Inputs!$F$11),TRUE))))</f>
        <v/>
      </c>
      <c r="D305">
        <f>IF(B305=0,1,IF(Inputs!$B$3="weibull",EXP(-(B305/CHOOSE(MATCH(Inputs!$B$3,{"weibull","lognormal","loglogistic"},0),Inputs!$F$8,Inputs!$F$10,Inputs!$F$12))^CHOOSE(MATCH(Inputs!$B$3,{"weibull","lognormal","loglogistic"},0),Inputs!$D$8,Inputs!$D$10,Inputs!$D$12)),IF(Inputs!$B$3="loglogistic",1/(1+(B305/CHOOSE(MATCH(Inputs!$B$3,{"weibull","lognormal","loglogistic"},0),Inputs!$F$8,Inputs!$F$10,Inputs!$F$12))^CHOOSE(MATCH(Inputs!$B$3,{"weibull","lognormal","loglogistic"},0),Inputs!$D$8,Inputs!$D$10,Inputs!$D$12)),1-NORM.S.DIST((LN(B305)-CHOOSE(MATCH(Inputs!$B$3,{"weibull","lognormal","loglogistic"},0),Inputs!$D$8,Inputs!$D$10,Inputs!$D$12))/CHOOSE(MATCH(Inputs!$B$3,{"weibull","lognormal","loglogistic"},0),Inputs!$F$8,Inputs!$F$10,Inputs!$F$12),TRUE))))</f>
        <v/>
      </c>
      <c r="E305">
        <f>(C304+C305)/2/12</f>
        <v/>
      </c>
      <c r="F305">
        <f>(D304+D305)/2/12</f>
        <v/>
      </c>
    </row>
    <row r="306">
      <c r="A306" t="n">
        <v>304</v>
      </c>
      <c r="B306">
        <f>A306/12</f>
        <v/>
      </c>
      <c r="C306">
        <f>IF(B306=0,1,IF(Inputs!$B$3="weibull",EXP(-(B306/CHOOSE(MATCH(Inputs!$B$3,{"weibull","lognormal","loglogistic"},0),Inputs!$F$7,Inputs!$F$9,Inputs!$F$11))^CHOOSE(MATCH(Inputs!$B$3,{"weibull","lognormal","loglogistic"},0),Inputs!$D$7,Inputs!$D$9,Inputs!$D$11)),IF(Inputs!$B$3="loglogistic",1/(1+(B306/CHOOSE(MATCH(Inputs!$B$3,{"weibull","lognormal","loglogistic"},0),Inputs!$F$7,Inputs!$F$9,Inputs!$F$11))^CHOOSE(MATCH(Inputs!$B$3,{"weibull","lognormal","loglogistic"},0),Inputs!$D$7,Inputs!$D$9,Inputs!$D$11)),1-NORM.S.DIST((LN(B306)-CHOOSE(MATCH(Inputs!$B$3,{"weibull","lognormal","loglogistic"},0),Inputs!$D$7,Inputs!$D$9,Inputs!$D$11))/CHOOSE(MATCH(Inputs!$B$3,{"weibull","lognormal","loglogistic"},0),Inputs!$F$7,Inputs!$F$9,Inputs!$F$11),TRUE))))</f>
        <v/>
      </c>
      <c r="D306">
        <f>IF(B306=0,1,IF(Inputs!$B$3="weibull",EXP(-(B306/CHOOSE(MATCH(Inputs!$B$3,{"weibull","lognormal","loglogistic"},0),Inputs!$F$8,Inputs!$F$10,Inputs!$F$12))^CHOOSE(MATCH(Inputs!$B$3,{"weibull","lognormal","loglogistic"},0),Inputs!$D$8,Inputs!$D$10,Inputs!$D$12)),IF(Inputs!$B$3="loglogistic",1/(1+(B306/CHOOSE(MATCH(Inputs!$B$3,{"weibull","lognormal","loglogistic"},0),Inputs!$F$8,Inputs!$F$10,Inputs!$F$12))^CHOOSE(MATCH(Inputs!$B$3,{"weibull","lognormal","loglogistic"},0),Inputs!$D$8,Inputs!$D$10,Inputs!$D$12)),1-NORM.S.DIST((LN(B306)-CHOOSE(MATCH(Inputs!$B$3,{"weibull","lognormal","loglogistic"},0),Inputs!$D$8,Inputs!$D$10,Inputs!$D$12))/CHOOSE(MATCH(Inputs!$B$3,{"weibull","lognormal","loglogistic"},0),Inputs!$F$8,Inputs!$F$10,Inputs!$F$12),TRUE))))</f>
        <v/>
      </c>
      <c r="E306">
        <f>(C305+C306)/2/12</f>
        <v/>
      </c>
      <c r="F306">
        <f>(D305+D306)/2/12</f>
        <v/>
      </c>
    </row>
    <row r="307">
      <c r="A307" t="n">
        <v>305</v>
      </c>
      <c r="B307">
        <f>A307/12</f>
        <v/>
      </c>
      <c r="C307">
        <f>IF(B307=0,1,IF(Inputs!$B$3="weibull",EXP(-(B307/CHOOSE(MATCH(Inputs!$B$3,{"weibull","lognormal","loglogistic"},0),Inputs!$F$7,Inputs!$F$9,Inputs!$F$11))^CHOOSE(MATCH(Inputs!$B$3,{"weibull","lognormal","loglogistic"},0),Inputs!$D$7,Inputs!$D$9,Inputs!$D$11)),IF(Inputs!$B$3="loglogistic",1/(1+(B307/CHOOSE(MATCH(Inputs!$B$3,{"weibull","lognormal","loglogistic"},0),Inputs!$F$7,Inputs!$F$9,Inputs!$F$11))^CHOOSE(MATCH(Inputs!$B$3,{"weibull","lognormal","loglogistic"},0),Inputs!$D$7,Inputs!$D$9,Inputs!$D$11)),1-NORM.S.DIST((LN(B307)-CHOOSE(MATCH(Inputs!$B$3,{"weibull","lognormal","loglogistic"},0),Inputs!$D$7,Inputs!$D$9,Inputs!$D$11))/CHOOSE(MATCH(Inputs!$B$3,{"weibull","lognormal","loglogistic"},0),Inputs!$F$7,Inputs!$F$9,Inputs!$F$11),TRUE))))</f>
        <v/>
      </c>
      <c r="D307">
        <f>IF(B307=0,1,IF(Inputs!$B$3="weibull",EXP(-(B307/CHOOSE(MATCH(Inputs!$B$3,{"weibull","lognormal","loglogistic"},0),Inputs!$F$8,Inputs!$F$10,Inputs!$F$12))^CHOOSE(MATCH(Inputs!$B$3,{"weibull","lognormal","loglogistic"},0),Inputs!$D$8,Inputs!$D$10,Inputs!$D$12)),IF(Inputs!$B$3="loglogistic",1/(1+(B307/CHOOSE(MATCH(Inputs!$B$3,{"weibull","lognormal","loglogistic"},0),Inputs!$F$8,Inputs!$F$10,Inputs!$F$12))^CHOOSE(MATCH(Inputs!$B$3,{"weibull","lognormal","loglogistic"},0),Inputs!$D$8,Inputs!$D$10,Inputs!$D$12)),1-NORM.S.DIST((LN(B307)-CHOOSE(MATCH(Inputs!$B$3,{"weibull","lognormal","loglogistic"},0),Inputs!$D$8,Inputs!$D$10,Inputs!$D$12))/CHOOSE(MATCH(Inputs!$B$3,{"weibull","lognormal","loglogistic"},0),Inputs!$F$8,Inputs!$F$10,Inputs!$F$12),TRUE))))</f>
        <v/>
      </c>
      <c r="E307">
        <f>(C306+C307)/2/12</f>
        <v/>
      </c>
      <c r="F307">
        <f>(D306+D307)/2/12</f>
        <v/>
      </c>
    </row>
    <row r="308">
      <c r="A308" t="n">
        <v>306</v>
      </c>
      <c r="B308">
        <f>A308/12</f>
        <v/>
      </c>
      <c r="C308">
        <f>IF(B308=0,1,IF(Inputs!$B$3="weibull",EXP(-(B308/CHOOSE(MATCH(Inputs!$B$3,{"weibull","lognormal","loglogistic"},0),Inputs!$F$7,Inputs!$F$9,Inputs!$F$11))^CHOOSE(MATCH(Inputs!$B$3,{"weibull","lognormal","loglogistic"},0),Inputs!$D$7,Inputs!$D$9,Inputs!$D$11)),IF(Inputs!$B$3="loglogistic",1/(1+(B308/CHOOSE(MATCH(Inputs!$B$3,{"weibull","lognormal","loglogistic"},0),Inputs!$F$7,Inputs!$F$9,Inputs!$F$11))^CHOOSE(MATCH(Inputs!$B$3,{"weibull","lognormal","loglogistic"},0),Inputs!$D$7,Inputs!$D$9,Inputs!$D$11)),1-NORM.S.DIST((LN(B308)-CHOOSE(MATCH(Inputs!$B$3,{"weibull","lognormal","loglogistic"},0),Inputs!$D$7,Inputs!$D$9,Inputs!$D$11))/CHOOSE(MATCH(Inputs!$B$3,{"weibull","lognormal","loglogistic"},0),Inputs!$F$7,Inputs!$F$9,Inputs!$F$11),TRUE))))</f>
        <v/>
      </c>
      <c r="D308">
        <f>IF(B308=0,1,IF(Inputs!$B$3="weibull",EXP(-(B308/CHOOSE(MATCH(Inputs!$B$3,{"weibull","lognormal","loglogistic"},0),Inputs!$F$8,Inputs!$F$10,Inputs!$F$12))^CHOOSE(MATCH(Inputs!$B$3,{"weibull","lognormal","loglogistic"},0),Inputs!$D$8,Inputs!$D$10,Inputs!$D$12)),IF(Inputs!$B$3="loglogistic",1/(1+(B308/CHOOSE(MATCH(Inputs!$B$3,{"weibull","lognormal","loglogistic"},0),Inputs!$F$8,Inputs!$F$10,Inputs!$F$12))^CHOOSE(MATCH(Inputs!$B$3,{"weibull","lognormal","loglogistic"},0),Inputs!$D$8,Inputs!$D$10,Inputs!$D$12)),1-NORM.S.DIST((LN(B308)-CHOOSE(MATCH(Inputs!$B$3,{"weibull","lognormal","loglogistic"},0),Inputs!$D$8,Inputs!$D$10,Inputs!$D$12))/CHOOSE(MATCH(Inputs!$B$3,{"weibull","lognormal","loglogistic"},0),Inputs!$F$8,Inputs!$F$10,Inputs!$F$12),TRUE))))</f>
        <v/>
      </c>
      <c r="E308">
        <f>(C307+C308)/2/12</f>
        <v/>
      </c>
      <c r="F308">
        <f>(D307+D308)/2/12</f>
        <v/>
      </c>
    </row>
    <row r="309">
      <c r="A309" t="n">
        <v>307</v>
      </c>
      <c r="B309">
        <f>A309/12</f>
        <v/>
      </c>
      <c r="C309">
        <f>IF(B309=0,1,IF(Inputs!$B$3="weibull",EXP(-(B309/CHOOSE(MATCH(Inputs!$B$3,{"weibull","lognormal","loglogistic"},0),Inputs!$F$7,Inputs!$F$9,Inputs!$F$11))^CHOOSE(MATCH(Inputs!$B$3,{"weibull","lognormal","loglogistic"},0),Inputs!$D$7,Inputs!$D$9,Inputs!$D$11)),IF(Inputs!$B$3="loglogistic",1/(1+(B309/CHOOSE(MATCH(Inputs!$B$3,{"weibull","lognormal","loglogistic"},0),Inputs!$F$7,Inputs!$F$9,Inputs!$F$11))^CHOOSE(MATCH(Inputs!$B$3,{"weibull","lognormal","loglogistic"},0),Inputs!$D$7,Inputs!$D$9,Inputs!$D$11)),1-NORM.S.DIST((LN(B309)-CHOOSE(MATCH(Inputs!$B$3,{"weibull","lognormal","loglogistic"},0),Inputs!$D$7,Inputs!$D$9,Inputs!$D$11))/CHOOSE(MATCH(Inputs!$B$3,{"weibull","lognormal","loglogistic"},0),Inputs!$F$7,Inputs!$F$9,Inputs!$F$11),TRUE))))</f>
        <v/>
      </c>
      <c r="D309">
        <f>IF(B309=0,1,IF(Inputs!$B$3="weibull",EXP(-(B309/CHOOSE(MATCH(Inputs!$B$3,{"weibull","lognormal","loglogistic"},0),Inputs!$F$8,Inputs!$F$10,Inputs!$F$12))^CHOOSE(MATCH(Inputs!$B$3,{"weibull","lognormal","loglogistic"},0),Inputs!$D$8,Inputs!$D$10,Inputs!$D$12)),IF(Inputs!$B$3="loglogistic",1/(1+(B309/CHOOSE(MATCH(Inputs!$B$3,{"weibull","lognormal","loglogistic"},0),Inputs!$F$8,Inputs!$F$10,Inputs!$F$12))^CHOOSE(MATCH(Inputs!$B$3,{"weibull","lognormal","loglogistic"},0),Inputs!$D$8,Inputs!$D$10,Inputs!$D$12)),1-NORM.S.DIST((LN(B309)-CHOOSE(MATCH(Inputs!$B$3,{"weibull","lognormal","loglogistic"},0),Inputs!$D$8,Inputs!$D$10,Inputs!$D$12))/CHOOSE(MATCH(Inputs!$B$3,{"weibull","lognormal","loglogistic"},0),Inputs!$F$8,Inputs!$F$10,Inputs!$F$12),TRUE))))</f>
        <v/>
      </c>
      <c r="E309">
        <f>(C308+C309)/2/12</f>
        <v/>
      </c>
      <c r="F309">
        <f>(D308+D309)/2/12</f>
        <v/>
      </c>
    </row>
    <row r="310">
      <c r="A310" t="n">
        <v>308</v>
      </c>
      <c r="B310">
        <f>A310/12</f>
        <v/>
      </c>
      <c r="C310">
        <f>IF(B310=0,1,IF(Inputs!$B$3="weibull",EXP(-(B310/CHOOSE(MATCH(Inputs!$B$3,{"weibull","lognormal","loglogistic"},0),Inputs!$F$7,Inputs!$F$9,Inputs!$F$11))^CHOOSE(MATCH(Inputs!$B$3,{"weibull","lognormal","loglogistic"},0),Inputs!$D$7,Inputs!$D$9,Inputs!$D$11)),IF(Inputs!$B$3="loglogistic",1/(1+(B310/CHOOSE(MATCH(Inputs!$B$3,{"weibull","lognormal","loglogistic"},0),Inputs!$F$7,Inputs!$F$9,Inputs!$F$11))^CHOOSE(MATCH(Inputs!$B$3,{"weibull","lognormal","loglogistic"},0),Inputs!$D$7,Inputs!$D$9,Inputs!$D$11)),1-NORM.S.DIST((LN(B310)-CHOOSE(MATCH(Inputs!$B$3,{"weibull","lognormal","loglogistic"},0),Inputs!$D$7,Inputs!$D$9,Inputs!$D$11))/CHOOSE(MATCH(Inputs!$B$3,{"weibull","lognormal","loglogistic"},0),Inputs!$F$7,Inputs!$F$9,Inputs!$F$11),TRUE))))</f>
        <v/>
      </c>
      <c r="D310">
        <f>IF(B310=0,1,IF(Inputs!$B$3="weibull",EXP(-(B310/CHOOSE(MATCH(Inputs!$B$3,{"weibull","lognormal","loglogistic"},0),Inputs!$F$8,Inputs!$F$10,Inputs!$F$12))^CHOOSE(MATCH(Inputs!$B$3,{"weibull","lognormal","loglogistic"},0),Inputs!$D$8,Inputs!$D$10,Inputs!$D$12)),IF(Inputs!$B$3="loglogistic",1/(1+(B310/CHOOSE(MATCH(Inputs!$B$3,{"weibull","lognormal","loglogistic"},0),Inputs!$F$8,Inputs!$F$10,Inputs!$F$12))^CHOOSE(MATCH(Inputs!$B$3,{"weibull","lognormal","loglogistic"},0),Inputs!$D$8,Inputs!$D$10,Inputs!$D$12)),1-NORM.S.DIST((LN(B310)-CHOOSE(MATCH(Inputs!$B$3,{"weibull","lognormal","loglogistic"},0),Inputs!$D$8,Inputs!$D$10,Inputs!$D$12))/CHOOSE(MATCH(Inputs!$B$3,{"weibull","lognormal","loglogistic"},0),Inputs!$F$8,Inputs!$F$10,Inputs!$F$12),TRUE))))</f>
        <v/>
      </c>
      <c r="E310">
        <f>(C309+C310)/2/12</f>
        <v/>
      </c>
      <c r="F310">
        <f>(D309+D310)/2/12</f>
        <v/>
      </c>
    </row>
    <row r="311">
      <c r="A311" t="n">
        <v>309</v>
      </c>
      <c r="B311">
        <f>A311/12</f>
        <v/>
      </c>
      <c r="C311">
        <f>IF(B311=0,1,IF(Inputs!$B$3="weibull",EXP(-(B311/CHOOSE(MATCH(Inputs!$B$3,{"weibull","lognormal","loglogistic"},0),Inputs!$F$7,Inputs!$F$9,Inputs!$F$11))^CHOOSE(MATCH(Inputs!$B$3,{"weibull","lognormal","loglogistic"},0),Inputs!$D$7,Inputs!$D$9,Inputs!$D$11)),IF(Inputs!$B$3="loglogistic",1/(1+(B311/CHOOSE(MATCH(Inputs!$B$3,{"weibull","lognormal","loglogistic"},0),Inputs!$F$7,Inputs!$F$9,Inputs!$F$11))^CHOOSE(MATCH(Inputs!$B$3,{"weibull","lognormal","loglogistic"},0),Inputs!$D$7,Inputs!$D$9,Inputs!$D$11)),1-NORM.S.DIST((LN(B311)-CHOOSE(MATCH(Inputs!$B$3,{"weibull","lognormal","loglogistic"},0),Inputs!$D$7,Inputs!$D$9,Inputs!$D$11))/CHOOSE(MATCH(Inputs!$B$3,{"weibull","lognormal","loglogistic"},0),Inputs!$F$7,Inputs!$F$9,Inputs!$F$11),TRUE))))</f>
        <v/>
      </c>
      <c r="D311">
        <f>IF(B311=0,1,IF(Inputs!$B$3="weibull",EXP(-(B311/CHOOSE(MATCH(Inputs!$B$3,{"weibull","lognormal","loglogistic"},0),Inputs!$F$8,Inputs!$F$10,Inputs!$F$12))^CHOOSE(MATCH(Inputs!$B$3,{"weibull","lognormal","loglogistic"},0),Inputs!$D$8,Inputs!$D$10,Inputs!$D$12)),IF(Inputs!$B$3="loglogistic",1/(1+(B311/CHOOSE(MATCH(Inputs!$B$3,{"weibull","lognormal","loglogistic"},0),Inputs!$F$8,Inputs!$F$10,Inputs!$F$12))^CHOOSE(MATCH(Inputs!$B$3,{"weibull","lognormal","loglogistic"},0),Inputs!$D$8,Inputs!$D$10,Inputs!$D$12)),1-NORM.S.DIST((LN(B311)-CHOOSE(MATCH(Inputs!$B$3,{"weibull","lognormal","loglogistic"},0),Inputs!$D$8,Inputs!$D$10,Inputs!$D$12))/CHOOSE(MATCH(Inputs!$B$3,{"weibull","lognormal","loglogistic"},0),Inputs!$F$8,Inputs!$F$10,Inputs!$F$12),TRUE))))</f>
        <v/>
      </c>
      <c r="E311">
        <f>(C310+C311)/2/12</f>
        <v/>
      </c>
      <c r="F311">
        <f>(D310+D311)/2/12</f>
        <v/>
      </c>
    </row>
    <row r="312">
      <c r="A312" t="n">
        <v>310</v>
      </c>
      <c r="B312">
        <f>A312/12</f>
        <v/>
      </c>
      <c r="C312">
        <f>IF(B312=0,1,IF(Inputs!$B$3="weibull",EXP(-(B312/CHOOSE(MATCH(Inputs!$B$3,{"weibull","lognormal","loglogistic"},0),Inputs!$F$7,Inputs!$F$9,Inputs!$F$11))^CHOOSE(MATCH(Inputs!$B$3,{"weibull","lognormal","loglogistic"},0),Inputs!$D$7,Inputs!$D$9,Inputs!$D$11)),IF(Inputs!$B$3="loglogistic",1/(1+(B312/CHOOSE(MATCH(Inputs!$B$3,{"weibull","lognormal","loglogistic"},0),Inputs!$F$7,Inputs!$F$9,Inputs!$F$11))^CHOOSE(MATCH(Inputs!$B$3,{"weibull","lognormal","loglogistic"},0),Inputs!$D$7,Inputs!$D$9,Inputs!$D$11)),1-NORM.S.DIST((LN(B312)-CHOOSE(MATCH(Inputs!$B$3,{"weibull","lognormal","loglogistic"},0),Inputs!$D$7,Inputs!$D$9,Inputs!$D$11))/CHOOSE(MATCH(Inputs!$B$3,{"weibull","lognormal","loglogistic"},0),Inputs!$F$7,Inputs!$F$9,Inputs!$F$11),TRUE))))</f>
        <v/>
      </c>
      <c r="D312">
        <f>IF(B312=0,1,IF(Inputs!$B$3="weibull",EXP(-(B312/CHOOSE(MATCH(Inputs!$B$3,{"weibull","lognormal","loglogistic"},0),Inputs!$F$8,Inputs!$F$10,Inputs!$F$12))^CHOOSE(MATCH(Inputs!$B$3,{"weibull","lognormal","loglogistic"},0),Inputs!$D$8,Inputs!$D$10,Inputs!$D$12)),IF(Inputs!$B$3="loglogistic",1/(1+(B312/CHOOSE(MATCH(Inputs!$B$3,{"weibull","lognormal","loglogistic"},0),Inputs!$F$8,Inputs!$F$10,Inputs!$F$12))^CHOOSE(MATCH(Inputs!$B$3,{"weibull","lognormal","loglogistic"},0),Inputs!$D$8,Inputs!$D$10,Inputs!$D$12)),1-NORM.S.DIST((LN(B312)-CHOOSE(MATCH(Inputs!$B$3,{"weibull","lognormal","loglogistic"},0),Inputs!$D$8,Inputs!$D$10,Inputs!$D$12))/CHOOSE(MATCH(Inputs!$B$3,{"weibull","lognormal","loglogistic"},0),Inputs!$F$8,Inputs!$F$10,Inputs!$F$12),TRUE))))</f>
        <v/>
      </c>
      <c r="E312">
        <f>(C311+C312)/2/12</f>
        <v/>
      </c>
      <c r="F312">
        <f>(D311+D312)/2/12</f>
        <v/>
      </c>
    </row>
    <row r="313">
      <c r="A313" t="n">
        <v>311</v>
      </c>
      <c r="B313">
        <f>A313/12</f>
        <v/>
      </c>
      <c r="C313">
        <f>IF(B313=0,1,IF(Inputs!$B$3="weibull",EXP(-(B313/CHOOSE(MATCH(Inputs!$B$3,{"weibull","lognormal","loglogistic"},0),Inputs!$F$7,Inputs!$F$9,Inputs!$F$11))^CHOOSE(MATCH(Inputs!$B$3,{"weibull","lognormal","loglogistic"},0),Inputs!$D$7,Inputs!$D$9,Inputs!$D$11)),IF(Inputs!$B$3="loglogistic",1/(1+(B313/CHOOSE(MATCH(Inputs!$B$3,{"weibull","lognormal","loglogistic"},0),Inputs!$F$7,Inputs!$F$9,Inputs!$F$11))^CHOOSE(MATCH(Inputs!$B$3,{"weibull","lognormal","loglogistic"},0),Inputs!$D$7,Inputs!$D$9,Inputs!$D$11)),1-NORM.S.DIST((LN(B313)-CHOOSE(MATCH(Inputs!$B$3,{"weibull","lognormal","loglogistic"},0),Inputs!$D$7,Inputs!$D$9,Inputs!$D$11))/CHOOSE(MATCH(Inputs!$B$3,{"weibull","lognormal","loglogistic"},0),Inputs!$F$7,Inputs!$F$9,Inputs!$F$11),TRUE))))</f>
        <v/>
      </c>
      <c r="D313">
        <f>IF(B313=0,1,IF(Inputs!$B$3="weibull",EXP(-(B313/CHOOSE(MATCH(Inputs!$B$3,{"weibull","lognormal","loglogistic"},0),Inputs!$F$8,Inputs!$F$10,Inputs!$F$12))^CHOOSE(MATCH(Inputs!$B$3,{"weibull","lognormal","loglogistic"},0),Inputs!$D$8,Inputs!$D$10,Inputs!$D$12)),IF(Inputs!$B$3="loglogistic",1/(1+(B313/CHOOSE(MATCH(Inputs!$B$3,{"weibull","lognormal","loglogistic"},0),Inputs!$F$8,Inputs!$F$10,Inputs!$F$12))^CHOOSE(MATCH(Inputs!$B$3,{"weibull","lognormal","loglogistic"},0),Inputs!$D$8,Inputs!$D$10,Inputs!$D$12)),1-NORM.S.DIST((LN(B313)-CHOOSE(MATCH(Inputs!$B$3,{"weibull","lognormal","loglogistic"},0),Inputs!$D$8,Inputs!$D$10,Inputs!$D$12))/CHOOSE(MATCH(Inputs!$B$3,{"weibull","lognormal","loglogistic"},0),Inputs!$F$8,Inputs!$F$10,Inputs!$F$12),TRUE))))</f>
        <v/>
      </c>
      <c r="E313">
        <f>(C312+C313)/2/12</f>
        <v/>
      </c>
      <c r="F313">
        <f>(D312+D313)/2/12</f>
        <v/>
      </c>
    </row>
    <row r="314">
      <c r="A314" t="n">
        <v>312</v>
      </c>
      <c r="B314">
        <f>A314/12</f>
        <v/>
      </c>
      <c r="C314">
        <f>IF(B314=0,1,IF(Inputs!$B$3="weibull",EXP(-(B314/CHOOSE(MATCH(Inputs!$B$3,{"weibull","lognormal","loglogistic"},0),Inputs!$F$7,Inputs!$F$9,Inputs!$F$11))^CHOOSE(MATCH(Inputs!$B$3,{"weibull","lognormal","loglogistic"},0),Inputs!$D$7,Inputs!$D$9,Inputs!$D$11)),IF(Inputs!$B$3="loglogistic",1/(1+(B314/CHOOSE(MATCH(Inputs!$B$3,{"weibull","lognormal","loglogistic"},0),Inputs!$F$7,Inputs!$F$9,Inputs!$F$11))^CHOOSE(MATCH(Inputs!$B$3,{"weibull","lognormal","loglogistic"},0),Inputs!$D$7,Inputs!$D$9,Inputs!$D$11)),1-NORM.S.DIST((LN(B314)-CHOOSE(MATCH(Inputs!$B$3,{"weibull","lognormal","loglogistic"},0),Inputs!$D$7,Inputs!$D$9,Inputs!$D$11))/CHOOSE(MATCH(Inputs!$B$3,{"weibull","lognormal","loglogistic"},0),Inputs!$F$7,Inputs!$F$9,Inputs!$F$11),TRUE))))</f>
        <v/>
      </c>
      <c r="D314">
        <f>IF(B314=0,1,IF(Inputs!$B$3="weibull",EXP(-(B314/CHOOSE(MATCH(Inputs!$B$3,{"weibull","lognormal","loglogistic"},0),Inputs!$F$8,Inputs!$F$10,Inputs!$F$12))^CHOOSE(MATCH(Inputs!$B$3,{"weibull","lognormal","loglogistic"},0),Inputs!$D$8,Inputs!$D$10,Inputs!$D$12)),IF(Inputs!$B$3="loglogistic",1/(1+(B314/CHOOSE(MATCH(Inputs!$B$3,{"weibull","lognormal","loglogistic"},0),Inputs!$F$8,Inputs!$F$10,Inputs!$F$12))^CHOOSE(MATCH(Inputs!$B$3,{"weibull","lognormal","loglogistic"},0),Inputs!$D$8,Inputs!$D$10,Inputs!$D$12)),1-NORM.S.DIST((LN(B314)-CHOOSE(MATCH(Inputs!$B$3,{"weibull","lognormal","loglogistic"},0),Inputs!$D$8,Inputs!$D$10,Inputs!$D$12))/CHOOSE(MATCH(Inputs!$B$3,{"weibull","lognormal","loglogistic"},0),Inputs!$F$8,Inputs!$F$10,Inputs!$F$12),TRUE))))</f>
        <v/>
      </c>
      <c r="E314">
        <f>(C313+C314)/2/12</f>
        <v/>
      </c>
      <c r="F314">
        <f>(D313+D314)/2/12</f>
        <v/>
      </c>
    </row>
    <row r="315">
      <c r="A315" t="n">
        <v>313</v>
      </c>
      <c r="B315">
        <f>A315/12</f>
        <v/>
      </c>
      <c r="C315">
        <f>IF(B315=0,1,IF(Inputs!$B$3="weibull",EXP(-(B315/CHOOSE(MATCH(Inputs!$B$3,{"weibull","lognormal","loglogistic"},0),Inputs!$F$7,Inputs!$F$9,Inputs!$F$11))^CHOOSE(MATCH(Inputs!$B$3,{"weibull","lognormal","loglogistic"},0),Inputs!$D$7,Inputs!$D$9,Inputs!$D$11)),IF(Inputs!$B$3="loglogistic",1/(1+(B315/CHOOSE(MATCH(Inputs!$B$3,{"weibull","lognormal","loglogistic"},0),Inputs!$F$7,Inputs!$F$9,Inputs!$F$11))^CHOOSE(MATCH(Inputs!$B$3,{"weibull","lognormal","loglogistic"},0),Inputs!$D$7,Inputs!$D$9,Inputs!$D$11)),1-NORM.S.DIST((LN(B315)-CHOOSE(MATCH(Inputs!$B$3,{"weibull","lognormal","loglogistic"},0),Inputs!$D$7,Inputs!$D$9,Inputs!$D$11))/CHOOSE(MATCH(Inputs!$B$3,{"weibull","lognormal","loglogistic"},0),Inputs!$F$7,Inputs!$F$9,Inputs!$F$11),TRUE))))</f>
        <v/>
      </c>
      <c r="D315">
        <f>IF(B315=0,1,IF(Inputs!$B$3="weibull",EXP(-(B315/CHOOSE(MATCH(Inputs!$B$3,{"weibull","lognormal","loglogistic"},0),Inputs!$F$8,Inputs!$F$10,Inputs!$F$12))^CHOOSE(MATCH(Inputs!$B$3,{"weibull","lognormal","loglogistic"},0),Inputs!$D$8,Inputs!$D$10,Inputs!$D$12)),IF(Inputs!$B$3="loglogistic",1/(1+(B315/CHOOSE(MATCH(Inputs!$B$3,{"weibull","lognormal","loglogistic"},0),Inputs!$F$8,Inputs!$F$10,Inputs!$F$12))^CHOOSE(MATCH(Inputs!$B$3,{"weibull","lognormal","loglogistic"},0),Inputs!$D$8,Inputs!$D$10,Inputs!$D$12)),1-NORM.S.DIST((LN(B315)-CHOOSE(MATCH(Inputs!$B$3,{"weibull","lognormal","loglogistic"},0),Inputs!$D$8,Inputs!$D$10,Inputs!$D$12))/CHOOSE(MATCH(Inputs!$B$3,{"weibull","lognormal","loglogistic"},0),Inputs!$F$8,Inputs!$F$10,Inputs!$F$12),TRUE))))</f>
        <v/>
      </c>
      <c r="E315">
        <f>(C314+C315)/2/12</f>
        <v/>
      </c>
      <c r="F315">
        <f>(D314+D315)/2/12</f>
        <v/>
      </c>
    </row>
    <row r="316">
      <c r="A316" t="n">
        <v>314</v>
      </c>
      <c r="B316">
        <f>A316/12</f>
        <v/>
      </c>
      <c r="C316">
        <f>IF(B316=0,1,IF(Inputs!$B$3="weibull",EXP(-(B316/CHOOSE(MATCH(Inputs!$B$3,{"weibull","lognormal","loglogistic"},0),Inputs!$F$7,Inputs!$F$9,Inputs!$F$11))^CHOOSE(MATCH(Inputs!$B$3,{"weibull","lognormal","loglogistic"},0),Inputs!$D$7,Inputs!$D$9,Inputs!$D$11)),IF(Inputs!$B$3="loglogistic",1/(1+(B316/CHOOSE(MATCH(Inputs!$B$3,{"weibull","lognormal","loglogistic"},0),Inputs!$F$7,Inputs!$F$9,Inputs!$F$11))^CHOOSE(MATCH(Inputs!$B$3,{"weibull","lognormal","loglogistic"},0),Inputs!$D$7,Inputs!$D$9,Inputs!$D$11)),1-NORM.S.DIST((LN(B316)-CHOOSE(MATCH(Inputs!$B$3,{"weibull","lognormal","loglogistic"},0),Inputs!$D$7,Inputs!$D$9,Inputs!$D$11))/CHOOSE(MATCH(Inputs!$B$3,{"weibull","lognormal","loglogistic"},0),Inputs!$F$7,Inputs!$F$9,Inputs!$F$11),TRUE))))</f>
        <v/>
      </c>
      <c r="D316">
        <f>IF(B316=0,1,IF(Inputs!$B$3="weibull",EXP(-(B316/CHOOSE(MATCH(Inputs!$B$3,{"weibull","lognormal","loglogistic"},0),Inputs!$F$8,Inputs!$F$10,Inputs!$F$12))^CHOOSE(MATCH(Inputs!$B$3,{"weibull","lognormal","loglogistic"},0),Inputs!$D$8,Inputs!$D$10,Inputs!$D$12)),IF(Inputs!$B$3="loglogistic",1/(1+(B316/CHOOSE(MATCH(Inputs!$B$3,{"weibull","lognormal","loglogistic"},0),Inputs!$F$8,Inputs!$F$10,Inputs!$F$12))^CHOOSE(MATCH(Inputs!$B$3,{"weibull","lognormal","loglogistic"},0),Inputs!$D$8,Inputs!$D$10,Inputs!$D$12)),1-NORM.S.DIST((LN(B316)-CHOOSE(MATCH(Inputs!$B$3,{"weibull","lognormal","loglogistic"},0),Inputs!$D$8,Inputs!$D$10,Inputs!$D$12))/CHOOSE(MATCH(Inputs!$B$3,{"weibull","lognormal","loglogistic"},0),Inputs!$F$8,Inputs!$F$10,Inputs!$F$12),TRUE))))</f>
        <v/>
      </c>
      <c r="E316">
        <f>(C315+C316)/2/12</f>
        <v/>
      </c>
      <c r="F316">
        <f>(D315+D316)/2/12</f>
        <v/>
      </c>
    </row>
    <row r="317">
      <c r="A317" t="n">
        <v>315</v>
      </c>
      <c r="B317">
        <f>A317/12</f>
        <v/>
      </c>
      <c r="C317">
        <f>IF(B317=0,1,IF(Inputs!$B$3="weibull",EXP(-(B317/CHOOSE(MATCH(Inputs!$B$3,{"weibull","lognormal","loglogistic"},0),Inputs!$F$7,Inputs!$F$9,Inputs!$F$11))^CHOOSE(MATCH(Inputs!$B$3,{"weibull","lognormal","loglogistic"},0),Inputs!$D$7,Inputs!$D$9,Inputs!$D$11)),IF(Inputs!$B$3="loglogistic",1/(1+(B317/CHOOSE(MATCH(Inputs!$B$3,{"weibull","lognormal","loglogistic"},0),Inputs!$F$7,Inputs!$F$9,Inputs!$F$11))^CHOOSE(MATCH(Inputs!$B$3,{"weibull","lognormal","loglogistic"},0),Inputs!$D$7,Inputs!$D$9,Inputs!$D$11)),1-NORM.S.DIST((LN(B317)-CHOOSE(MATCH(Inputs!$B$3,{"weibull","lognormal","loglogistic"},0),Inputs!$D$7,Inputs!$D$9,Inputs!$D$11))/CHOOSE(MATCH(Inputs!$B$3,{"weibull","lognormal","loglogistic"},0),Inputs!$F$7,Inputs!$F$9,Inputs!$F$11),TRUE))))</f>
        <v/>
      </c>
      <c r="D317">
        <f>IF(B317=0,1,IF(Inputs!$B$3="weibull",EXP(-(B317/CHOOSE(MATCH(Inputs!$B$3,{"weibull","lognormal","loglogistic"},0),Inputs!$F$8,Inputs!$F$10,Inputs!$F$12))^CHOOSE(MATCH(Inputs!$B$3,{"weibull","lognormal","loglogistic"},0),Inputs!$D$8,Inputs!$D$10,Inputs!$D$12)),IF(Inputs!$B$3="loglogistic",1/(1+(B317/CHOOSE(MATCH(Inputs!$B$3,{"weibull","lognormal","loglogistic"},0),Inputs!$F$8,Inputs!$F$10,Inputs!$F$12))^CHOOSE(MATCH(Inputs!$B$3,{"weibull","lognormal","loglogistic"},0),Inputs!$D$8,Inputs!$D$10,Inputs!$D$12)),1-NORM.S.DIST((LN(B317)-CHOOSE(MATCH(Inputs!$B$3,{"weibull","lognormal","loglogistic"},0),Inputs!$D$8,Inputs!$D$10,Inputs!$D$12))/CHOOSE(MATCH(Inputs!$B$3,{"weibull","lognormal","loglogistic"},0),Inputs!$F$8,Inputs!$F$10,Inputs!$F$12),TRUE))))</f>
        <v/>
      </c>
      <c r="E317">
        <f>(C316+C317)/2/12</f>
        <v/>
      </c>
      <c r="F317">
        <f>(D316+D317)/2/12</f>
        <v/>
      </c>
    </row>
    <row r="318">
      <c r="A318" t="n">
        <v>316</v>
      </c>
      <c r="B318">
        <f>A318/12</f>
        <v/>
      </c>
      <c r="C318">
        <f>IF(B318=0,1,IF(Inputs!$B$3="weibull",EXP(-(B318/CHOOSE(MATCH(Inputs!$B$3,{"weibull","lognormal","loglogistic"},0),Inputs!$F$7,Inputs!$F$9,Inputs!$F$11))^CHOOSE(MATCH(Inputs!$B$3,{"weibull","lognormal","loglogistic"},0),Inputs!$D$7,Inputs!$D$9,Inputs!$D$11)),IF(Inputs!$B$3="loglogistic",1/(1+(B318/CHOOSE(MATCH(Inputs!$B$3,{"weibull","lognormal","loglogistic"},0),Inputs!$F$7,Inputs!$F$9,Inputs!$F$11))^CHOOSE(MATCH(Inputs!$B$3,{"weibull","lognormal","loglogistic"},0),Inputs!$D$7,Inputs!$D$9,Inputs!$D$11)),1-NORM.S.DIST((LN(B318)-CHOOSE(MATCH(Inputs!$B$3,{"weibull","lognormal","loglogistic"},0),Inputs!$D$7,Inputs!$D$9,Inputs!$D$11))/CHOOSE(MATCH(Inputs!$B$3,{"weibull","lognormal","loglogistic"},0),Inputs!$F$7,Inputs!$F$9,Inputs!$F$11),TRUE))))</f>
        <v/>
      </c>
      <c r="D318">
        <f>IF(B318=0,1,IF(Inputs!$B$3="weibull",EXP(-(B318/CHOOSE(MATCH(Inputs!$B$3,{"weibull","lognormal","loglogistic"},0),Inputs!$F$8,Inputs!$F$10,Inputs!$F$12))^CHOOSE(MATCH(Inputs!$B$3,{"weibull","lognormal","loglogistic"},0),Inputs!$D$8,Inputs!$D$10,Inputs!$D$12)),IF(Inputs!$B$3="loglogistic",1/(1+(B318/CHOOSE(MATCH(Inputs!$B$3,{"weibull","lognormal","loglogistic"},0),Inputs!$F$8,Inputs!$F$10,Inputs!$F$12))^CHOOSE(MATCH(Inputs!$B$3,{"weibull","lognormal","loglogistic"},0),Inputs!$D$8,Inputs!$D$10,Inputs!$D$12)),1-NORM.S.DIST((LN(B318)-CHOOSE(MATCH(Inputs!$B$3,{"weibull","lognormal","loglogistic"},0),Inputs!$D$8,Inputs!$D$10,Inputs!$D$12))/CHOOSE(MATCH(Inputs!$B$3,{"weibull","lognormal","loglogistic"},0),Inputs!$F$8,Inputs!$F$10,Inputs!$F$12),TRUE))))</f>
        <v/>
      </c>
      <c r="E318">
        <f>(C317+C318)/2/12</f>
        <v/>
      </c>
      <c r="F318">
        <f>(D317+D318)/2/12</f>
        <v/>
      </c>
    </row>
    <row r="319">
      <c r="A319" t="n">
        <v>317</v>
      </c>
      <c r="B319">
        <f>A319/12</f>
        <v/>
      </c>
      <c r="C319">
        <f>IF(B319=0,1,IF(Inputs!$B$3="weibull",EXP(-(B319/CHOOSE(MATCH(Inputs!$B$3,{"weibull","lognormal","loglogistic"},0),Inputs!$F$7,Inputs!$F$9,Inputs!$F$11))^CHOOSE(MATCH(Inputs!$B$3,{"weibull","lognormal","loglogistic"},0),Inputs!$D$7,Inputs!$D$9,Inputs!$D$11)),IF(Inputs!$B$3="loglogistic",1/(1+(B319/CHOOSE(MATCH(Inputs!$B$3,{"weibull","lognormal","loglogistic"},0),Inputs!$F$7,Inputs!$F$9,Inputs!$F$11))^CHOOSE(MATCH(Inputs!$B$3,{"weibull","lognormal","loglogistic"},0),Inputs!$D$7,Inputs!$D$9,Inputs!$D$11)),1-NORM.S.DIST((LN(B319)-CHOOSE(MATCH(Inputs!$B$3,{"weibull","lognormal","loglogistic"},0),Inputs!$D$7,Inputs!$D$9,Inputs!$D$11))/CHOOSE(MATCH(Inputs!$B$3,{"weibull","lognormal","loglogistic"},0),Inputs!$F$7,Inputs!$F$9,Inputs!$F$11),TRUE))))</f>
        <v/>
      </c>
      <c r="D319">
        <f>IF(B319=0,1,IF(Inputs!$B$3="weibull",EXP(-(B319/CHOOSE(MATCH(Inputs!$B$3,{"weibull","lognormal","loglogistic"},0),Inputs!$F$8,Inputs!$F$10,Inputs!$F$12))^CHOOSE(MATCH(Inputs!$B$3,{"weibull","lognormal","loglogistic"},0),Inputs!$D$8,Inputs!$D$10,Inputs!$D$12)),IF(Inputs!$B$3="loglogistic",1/(1+(B319/CHOOSE(MATCH(Inputs!$B$3,{"weibull","lognormal","loglogistic"},0),Inputs!$F$8,Inputs!$F$10,Inputs!$F$12))^CHOOSE(MATCH(Inputs!$B$3,{"weibull","lognormal","loglogistic"},0),Inputs!$D$8,Inputs!$D$10,Inputs!$D$12)),1-NORM.S.DIST((LN(B319)-CHOOSE(MATCH(Inputs!$B$3,{"weibull","lognormal","loglogistic"},0),Inputs!$D$8,Inputs!$D$10,Inputs!$D$12))/CHOOSE(MATCH(Inputs!$B$3,{"weibull","lognormal","loglogistic"},0),Inputs!$F$8,Inputs!$F$10,Inputs!$F$12),TRUE))))</f>
        <v/>
      </c>
      <c r="E319">
        <f>(C318+C319)/2/12</f>
        <v/>
      </c>
      <c r="F319">
        <f>(D318+D319)/2/12</f>
        <v/>
      </c>
    </row>
    <row r="320">
      <c r="A320" t="n">
        <v>318</v>
      </c>
      <c r="B320">
        <f>A320/12</f>
        <v/>
      </c>
      <c r="C320">
        <f>IF(B320=0,1,IF(Inputs!$B$3="weibull",EXP(-(B320/CHOOSE(MATCH(Inputs!$B$3,{"weibull","lognormal","loglogistic"},0),Inputs!$F$7,Inputs!$F$9,Inputs!$F$11))^CHOOSE(MATCH(Inputs!$B$3,{"weibull","lognormal","loglogistic"},0),Inputs!$D$7,Inputs!$D$9,Inputs!$D$11)),IF(Inputs!$B$3="loglogistic",1/(1+(B320/CHOOSE(MATCH(Inputs!$B$3,{"weibull","lognormal","loglogistic"},0),Inputs!$F$7,Inputs!$F$9,Inputs!$F$11))^CHOOSE(MATCH(Inputs!$B$3,{"weibull","lognormal","loglogistic"},0),Inputs!$D$7,Inputs!$D$9,Inputs!$D$11)),1-NORM.S.DIST((LN(B320)-CHOOSE(MATCH(Inputs!$B$3,{"weibull","lognormal","loglogistic"},0),Inputs!$D$7,Inputs!$D$9,Inputs!$D$11))/CHOOSE(MATCH(Inputs!$B$3,{"weibull","lognormal","loglogistic"},0),Inputs!$F$7,Inputs!$F$9,Inputs!$F$11),TRUE))))</f>
        <v/>
      </c>
      <c r="D320">
        <f>IF(B320=0,1,IF(Inputs!$B$3="weibull",EXP(-(B320/CHOOSE(MATCH(Inputs!$B$3,{"weibull","lognormal","loglogistic"},0),Inputs!$F$8,Inputs!$F$10,Inputs!$F$12))^CHOOSE(MATCH(Inputs!$B$3,{"weibull","lognormal","loglogistic"},0),Inputs!$D$8,Inputs!$D$10,Inputs!$D$12)),IF(Inputs!$B$3="loglogistic",1/(1+(B320/CHOOSE(MATCH(Inputs!$B$3,{"weibull","lognormal","loglogistic"},0),Inputs!$F$8,Inputs!$F$10,Inputs!$F$12))^CHOOSE(MATCH(Inputs!$B$3,{"weibull","lognormal","loglogistic"},0),Inputs!$D$8,Inputs!$D$10,Inputs!$D$12)),1-NORM.S.DIST((LN(B320)-CHOOSE(MATCH(Inputs!$B$3,{"weibull","lognormal","loglogistic"},0),Inputs!$D$8,Inputs!$D$10,Inputs!$D$12))/CHOOSE(MATCH(Inputs!$B$3,{"weibull","lognormal","loglogistic"},0),Inputs!$F$8,Inputs!$F$10,Inputs!$F$12),TRUE))))</f>
        <v/>
      </c>
      <c r="E320">
        <f>(C319+C320)/2/12</f>
        <v/>
      </c>
      <c r="F320">
        <f>(D319+D320)/2/12</f>
        <v/>
      </c>
    </row>
    <row r="321">
      <c r="A321" t="n">
        <v>319</v>
      </c>
      <c r="B321">
        <f>A321/12</f>
        <v/>
      </c>
      <c r="C321">
        <f>IF(B321=0,1,IF(Inputs!$B$3="weibull",EXP(-(B321/CHOOSE(MATCH(Inputs!$B$3,{"weibull","lognormal","loglogistic"},0),Inputs!$F$7,Inputs!$F$9,Inputs!$F$11))^CHOOSE(MATCH(Inputs!$B$3,{"weibull","lognormal","loglogistic"},0),Inputs!$D$7,Inputs!$D$9,Inputs!$D$11)),IF(Inputs!$B$3="loglogistic",1/(1+(B321/CHOOSE(MATCH(Inputs!$B$3,{"weibull","lognormal","loglogistic"},0),Inputs!$F$7,Inputs!$F$9,Inputs!$F$11))^CHOOSE(MATCH(Inputs!$B$3,{"weibull","lognormal","loglogistic"},0),Inputs!$D$7,Inputs!$D$9,Inputs!$D$11)),1-NORM.S.DIST((LN(B321)-CHOOSE(MATCH(Inputs!$B$3,{"weibull","lognormal","loglogistic"},0),Inputs!$D$7,Inputs!$D$9,Inputs!$D$11))/CHOOSE(MATCH(Inputs!$B$3,{"weibull","lognormal","loglogistic"},0),Inputs!$F$7,Inputs!$F$9,Inputs!$F$11),TRUE))))</f>
        <v/>
      </c>
      <c r="D321">
        <f>IF(B321=0,1,IF(Inputs!$B$3="weibull",EXP(-(B321/CHOOSE(MATCH(Inputs!$B$3,{"weibull","lognormal","loglogistic"},0),Inputs!$F$8,Inputs!$F$10,Inputs!$F$12))^CHOOSE(MATCH(Inputs!$B$3,{"weibull","lognormal","loglogistic"},0),Inputs!$D$8,Inputs!$D$10,Inputs!$D$12)),IF(Inputs!$B$3="loglogistic",1/(1+(B321/CHOOSE(MATCH(Inputs!$B$3,{"weibull","lognormal","loglogistic"},0),Inputs!$F$8,Inputs!$F$10,Inputs!$F$12))^CHOOSE(MATCH(Inputs!$B$3,{"weibull","lognormal","loglogistic"},0),Inputs!$D$8,Inputs!$D$10,Inputs!$D$12)),1-NORM.S.DIST((LN(B321)-CHOOSE(MATCH(Inputs!$B$3,{"weibull","lognormal","loglogistic"},0),Inputs!$D$8,Inputs!$D$10,Inputs!$D$12))/CHOOSE(MATCH(Inputs!$B$3,{"weibull","lognormal","loglogistic"},0),Inputs!$F$8,Inputs!$F$10,Inputs!$F$12),TRUE))))</f>
        <v/>
      </c>
      <c r="E321">
        <f>(C320+C321)/2/12</f>
        <v/>
      </c>
      <c r="F321">
        <f>(D320+D321)/2/12</f>
        <v/>
      </c>
    </row>
    <row r="322">
      <c r="A322" t="n">
        <v>320</v>
      </c>
      <c r="B322">
        <f>A322/12</f>
        <v/>
      </c>
      <c r="C322">
        <f>IF(B322=0,1,IF(Inputs!$B$3="weibull",EXP(-(B322/CHOOSE(MATCH(Inputs!$B$3,{"weibull","lognormal","loglogistic"},0),Inputs!$F$7,Inputs!$F$9,Inputs!$F$11))^CHOOSE(MATCH(Inputs!$B$3,{"weibull","lognormal","loglogistic"},0),Inputs!$D$7,Inputs!$D$9,Inputs!$D$11)),IF(Inputs!$B$3="loglogistic",1/(1+(B322/CHOOSE(MATCH(Inputs!$B$3,{"weibull","lognormal","loglogistic"},0),Inputs!$F$7,Inputs!$F$9,Inputs!$F$11))^CHOOSE(MATCH(Inputs!$B$3,{"weibull","lognormal","loglogistic"},0),Inputs!$D$7,Inputs!$D$9,Inputs!$D$11)),1-NORM.S.DIST((LN(B322)-CHOOSE(MATCH(Inputs!$B$3,{"weibull","lognormal","loglogistic"},0),Inputs!$D$7,Inputs!$D$9,Inputs!$D$11))/CHOOSE(MATCH(Inputs!$B$3,{"weibull","lognormal","loglogistic"},0),Inputs!$F$7,Inputs!$F$9,Inputs!$F$11),TRUE))))</f>
        <v/>
      </c>
      <c r="D322">
        <f>IF(B322=0,1,IF(Inputs!$B$3="weibull",EXP(-(B322/CHOOSE(MATCH(Inputs!$B$3,{"weibull","lognormal","loglogistic"},0),Inputs!$F$8,Inputs!$F$10,Inputs!$F$12))^CHOOSE(MATCH(Inputs!$B$3,{"weibull","lognormal","loglogistic"},0),Inputs!$D$8,Inputs!$D$10,Inputs!$D$12)),IF(Inputs!$B$3="loglogistic",1/(1+(B322/CHOOSE(MATCH(Inputs!$B$3,{"weibull","lognormal","loglogistic"},0),Inputs!$F$8,Inputs!$F$10,Inputs!$F$12))^CHOOSE(MATCH(Inputs!$B$3,{"weibull","lognormal","loglogistic"},0),Inputs!$D$8,Inputs!$D$10,Inputs!$D$12)),1-NORM.S.DIST((LN(B322)-CHOOSE(MATCH(Inputs!$B$3,{"weibull","lognormal","loglogistic"},0),Inputs!$D$8,Inputs!$D$10,Inputs!$D$12))/CHOOSE(MATCH(Inputs!$B$3,{"weibull","lognormal","loglogistic"},0),Inputs!$F$8,Inputs!$F$10,Inputs!$F$12),TRUE))))</f>
        <v/>
      </c>
      <c r="E322">
        <f>(C321+C322)/2/12</f>
        <v/>
      </c>
      <c r="F322">
        <f>(D321+D322)/2/12</f>
        <v/>
      </c>
    </row>
    <row r="323">
      <c r="A323" t="n">
        <v>321</v>
      </c>
      <c r="B323">
        <f>A323/12</f>
        <v/>
      </c>
      <c r="C323">
        <f>IF(B323=0,1,IF(Inputs!$B$3="weibull",EXP(-(B323/CHOOSE(MATCH(Inputs!$B$3,{"weibull","lognormal","loglogistic"},0),Inputs!$F$7,Inputs!$F$9,Inputs!$F$11))^CHOOSE(MATCH(Inputs!$B$3,{"weibull","lognormal","loglogistic"},0),Inputs!$D$7,Inputs!$D$9,Inputs!$D$11)),IF(Inputs!$B$3="loglogistic",1/(1+(B323/CHOOSE(MATCH(Inputs!$B$3,{"weibull","lognormal","loglogistic"},0),Inputs!$F$7,Inputs!$F$9,Inputs!$F$11))^CHOOSE(MATCH(Inputs!$B$3,{"weibull","lognormal","loglogistic"},0),Inputs!$D$7,Inputs!$D$9,Inputs!$D$11)),1-NORM.S.DIST((LN(B323)-CHOOSE(MATCH(Inputs!$B$3,{"weibull","lognormal","loglogistic"},0),Inputs!$D$7,Inputs!$D$9,Inputs!$D$11))/CHOOSE(MATCH(Inputs!$B$3,{"weibull","lognormal","loglogistic"},0),Inputs!$F$7,Inputs!$F$9,Inputs!$F$11),TRUE))))</f>
        <v/>
      </c>
      <c r="D323">
        <f>IF(B323=0,1,IF(Inputs!$B$3="weibull",EXP(-(B323/CHOOSE(MATCH(Inputs!$B$3,{"weibull","lognormal","loglogistic"},0),Inputs!$F$8,Inputs!$F$10,Inputs!$F$12))^CHOOSE(MATCH(Inputs!$B$3,{"weibull","lognormal","loglogistic"},0),Inputs!$D$8,Inputs!$D$10,Inputs!$D$12)),IF(Inputs!$B$3="loglogistic",1/(1+(B323/CHOOSE(MATCH(Inputs!$B$3,{"weibull","lognormal","loglogistic"},0),Inputs!$F$8,Inputs!$F$10,Inputs!$F$12))^CHOOSE(MATCH(Inputs!$B$3,{"weibull","lognormal","loglogistic"},0),Inputs!$D$8,Inputs!$D$10,Inputs!$D$12)),1-NORM.S.DIST((LN(B323)-CHOOSE(MATCH(Inputs!$B$3,{"weibull","lognormal","loglogistic"},0),Inputs!$D$8,Inputs!$D$10,Inputs!$D$12))/CHOOSE(MATCH(Inputs!$B$3,{"weibull","lognormal","loglogistic"},0),Inputs!$F$8,Inputs!$F$10,Inputs!$F$12),TRUE))))</f>
        <v/>
      </c>
      <c r="E323">
        <f>(C322+C323)/2/12</f>
        <v/>
      </c>
      <c r="F323">
        <f>(D322+D323)/2/12</f>
        <v/>
      </c>
    </row>
    <row r="324">
      <c r="A324" t="n">
        <v>322</v>
      </c>
      <c r="B324">
        <f>A324/12</f>
        <v/>
      </c>
      <c r="C324">
        <f>IF(B324=0,1,IF(Inputs!$B$3="weibull",EXP(-(B324/CHOOSE(MATCH(Inputs!$B$3,{"weibull","lognormal","loglogistic"},0),Inputs!$F$7,Inputs!$F$9,Inputs!$F$11))^CHOOSE(MATCH(Inputs!$B$3,{"weibull","lognormal","loglogistic"},0),Inputs!$D$7,Inputs!$D$9,Inputs!$D$11)),IF(Inputs!$B$3="loglogistic",1/(1+(B324/CHOOSE(MATCH(Inputs!$B$3,{"weibull","lognormal","loglogistic"},0),Inputs!$F$7,Inputs!$F$9,Inputs!$F$11))^CHOOSE(MATCH(Inputs!$B$3,{"weibull","lognormal","loglogistic"},0),Inputs!$D$7,Inputs!$D$9,Inputs!$D$11)),1-NORM.S.DIST((LN(B324)-CHOOSE(MATCH(Inputs!$B$3,{"weibull","lognormal","loglogistic"},0),Inputs!$D$7,Inputs!$D$9,Inputs!$D$11))/CHOOSE(MATCH(Inputs!$B$3,{"weibull","lognormal","loglogistic"},0),Inputs!$F$7,Inputs!$F$9,Inputs!$F$11),TRUE))))</f>
        <v/>
      </c>
      <c r="D324">
        <f>IF(B324=0,1,IF(Inputs!$B$3="weibull",EXP(-(B324/CHOOSE(MATCH(Inputs!$B$3,{"weibull","lognormal","loglogistic"},0),Inputs!$F$8,Inputs!$F$10,Inputs!$F$12))^CHOOSE(MATCH(Inputs!$B$3,{"weibull","lognormal","loglogistic"},0),Inputs!$D$8,Inputs!$D$10,Inputs!$D$12)),IF(Inputs!$B$3="loglogistic",1/(1+(B324/CHOOSE(MATCH(Inputs!$B$3,{"weibull","lognormal","loglogistic"},0),Inputs!$F$8,Inputs!$F$10,Inputs!$F$12))^CHOOSE(MATCH(Inputs!$B$3,{"weibull","lognormal","loglogistic"},0),Inputs!$D$8,Inputs!$D$10,Inputs!$D$12)),1-NORM.S.DIST((LN(B324)-CHOOSE(MATCH(Inputs!$B$3,{"weibull","lognormal","loglogistic"},0),Inputs!$D$8,Inputs!$D$10,Inputs!$D$12))/CHOOSE(MATCH(Inputs!$B$3,{"weibull","lognormal","loglogistic"},0),Inputs!$F$8,Inputs!$F$10,Inputs!$F$12),TRUE))))</f>
        <v/>
      </c>
      <c r="E324">
        <f>(C323+C324)/2/12</f>
        <v/>
      </c>
      <c r="F324">
        <f>(D323+D324)/2/12</f>
        <v/>
      </c>
    </row>
    <row r="325">
      <c r="A325" t="n">
        <v>323</v>
      </c>
      <c r="B325">
        <f>A325/12</f>
        <v/>
      </c>
      <c r="C325">
        <f>IF(B325=0,1,IF(Inputs!$B$3="weibull",EXP(-(B325/CHOOSE(MATCH(Inputs!$B$3,{"weibull","lognormal","loglogistic"},0),Inputs!$F$7,Inputs!$F$9,Inputs!$F$11))^CHOOSE(MATCH(Inputs!$B$3,{"weibull","lognormal","loglogistic"},0),Inputs!$D$7,Inputs!$D$9,Inputs!$D$11)),IF(Inputs!$B$3="loglogistic",1/(1+(B325/CHOOSE(MATCH(Inputs!$B$3,{"weibull","lognormal","loglogistic"},0),Inputs!$F$7,Inputs!$F$9,Inputs!$F$11))^CHOOSE(MATCH(Inputs!$B$3,{"weibull","lognormal","loglogistic"},0),Inputs!$D$7,Inputs!$D$9,Inputs!$D$11)),1-NORM.S.DIST((LN(B325)-CHOOSE(MATCH(Inputs!$B$3,{"weibull","lognormal","loglogistic"},0),Inputs!$D$7,Inputs!$D$9,Inputs!$D$11))/CHOOSE(MATCH(Inputs!$B$3,{"weibull","lognormal","loglogistic"},0),Inputs!$F$7,Inputs!$F$9,Inputs!$F$11),TRUE))))</f>
        <v/>
      </c>
      <c r="D325">
        <f>IF(B325=0,1,IF(Inputs!$B$3="weibull",EXP(-(B325/CHOOSE(MATCH(Inputs!$B$3,{"weibull","lognormal","loglogistic"},0),Inputs!$F$8,Inputs!$F$10,Inputs!$F$12))^CHOOSE(MATCH(Inputs!$B$3,{"weibull","lognormal","loglogistic"},0),Inputs!$D$8,Inputs!$D$10,Inputs!$D$12)),IF(Inputs!$B$3="loglogistic",1/(1+(B325/CHOOSE(MATCH(Inputs!$B$3,{"weibull","lognormal","loglogistic"},0),Inputs!$F$8,Inputs!$F$10,Inputs!$F$12))^CHOOSE(MATCH(Inputs!$B$3,{"weibull","lognormal","loglogistic"},0),Inputs!$D$8,Inputs!$D$10,Inputs!$D$12)),1-NORM.S.DIST((LN(B325)-CHOOSE(MATCH(Inputs!$B$3,{"weibull","lognormal","loglogistic"},0),Inputs!$D$8,Inputs!$D$10,Inputs!$D$12))/CHOOSE(MATCH(Inputs!$B$3,{"weibull","lognormal","loglogistic"},0),Inputs!$F$8,Inputs!$F$10,Inputs!$F$12),TRUE))))</f>
        <v/>
      </c>
      <c r="E325">
        <f>(C324+C325)/2/12</f>
        <v/>
      </c>
      <c r="F325">
        <f>(D324+D325)/2/12</f>
        <v/>
      </c>
    </row>
    <row r="326">
      <c r="A326" t="n">
        <v>324</v>
      </c>
      <c r="B326">
        <f>A326/12</f>
        <v/>
      </c>
      <c r="C326">
        <f>IF(B326=0,1,IF(Inputs!$B$3="weibull",EXP(-(B326/CHOOSE(MATCH(Inputs!$B$3,{"weibull","lognormal","loglogistic"},0),Inputs!$F$7,Inputs!$F$9,Inputs!$F$11))^CHOOSE(MATCH(Inputs!$B$3,{"weibull","lognormal","loglogistic"},0),Inputs!$D$7,Inputs!$D$9,Inputs!$D$11)),IF(Inputs!$B$3="loglogistic",1/(1+(B326/CHOOSE(MATCH(Inputs!$B$3,{"weibull","lognormal","loglogistic"},0),Inputs!$F$7,Inputs!$F$9,Inputs!$F$11))^CHOOSE(MATCH(Inputs!$B$3,{"weibull","lognormal","loglogistic"},0),Inputs!$D$7,Inputs!$D$9,Inputs!$D$11)),1-NORM.S.DIST((LN(B326)-CHOOSE(MATCH(Inputs!$B$3,{"weibull","lognormal","loglogistic"},0),Inputs!$D$7,Inputs!$D$9,Inputs!$D$11))/CHOOSE(MATCH(Inputs!$B$3,{"weibull","lognormal","loglogistic"},0),Inputs!$F$7,Inputs!$F$9,Inputs!$F$11),TRUE))))</f>
        <v/>
      </c>
      <c r="D326">
        <f>IF(B326=0,1,IF(Inputs!$B$3="weibull",EXP(-(B326/CHOOSE(MATCH(Inputs!$B$3,{"weibull","lognormal","loglogistic"},0),Inputs!$F$8,Inputs!$F$10,Inputs!$F$12))^CHOOSE(MATCH(Inputs!$B$3,{"weibull","lognormal","loglogistic"},0),Inputs!$D$8,Inputs!$D$10,Inputs!$D$12)),IF(Inputs!$B$3="loglogistic",1/(1+(B326/CHOOSE(MATCH(Inputs!$B$3,{"weibull","lognormal","loglogistic"},0),Inputs!$F$8,Inputs!$F$10,Inputs!$F$12))^CHOOSE(MATCH(Inputs!$B$3,{"weibull","lognormal","loglogistic"},0),Inputs!$D$8,Inputs!$D$10,Inputs!$D$12)),1-NORM.S.DIST((LN(B326)-CHOOSE(MATCH(Inputs!$B$3,{"weibull","lognormal","loglogistic"},0),Inputs!$D$8,Inputs!$D$10,Inputs!$D$12))/CHOOSE(MATCH(Inputs!$B$3,{"weibull","lognormal","loglogistic"},0),Inputs!$F$8,Inputs!$F$10,Inputs!$F$12),TRUE))))</f>
        <v/>
      </c>
      <c r="E326">
        <f>(C325+C326)/2/12</f>
        <v/>
      </c>
      <c r="F326">
        <f>(D325+D326)/2/12</f>
        <v/>
      </c>
    </row>
    <row r="327">
      <c r="A327" t="n">
        <v>325</v>
      </c>
      <c r="B327">
        <f>A327/12</f>
        <v/>
      </c>
      <c r="C327">
        <f>IF(B327=0,1,IF(Inputs!$B$3="weibull",EXP(-(B327/CHOOSE(MATCH(Inputs!$B$3,{"weibull","lognormal","loglogistic"},0),Inputs!$F$7,Inputs!$F$9,Inputs!$F$11))^CHOOSE(MATCH(Inputs!$B$3,{"weibull","lognormal","loglogistic"},0),Inputs!$D$7,Inputs!$D$9,Inputs!$D$11)),IF(Inputs!$B$3="loglogistic",1/(1+(B327/CHOOSE(MATCH(Inputs!$B$3,{"weibull","lognormal","loglogistic"},0),Inputs!$F$7,Inputs!$F$9,Inputs!$F$11))^CHOOSE(MATCH(Inputs!$B$3,{"weibull","lognormal","loglogistic"},0),Inputs!$D$7,Inputs!$D$9,Inputs!$D$11)),1-NORM.S.DIST((LN(B327)-CHOOSE(MATCH(Inputs!$B$3,{"weibull","lognormal","loglogistic"},0),Inputs!$D$7,Inputs!$D$9,Inputs!$D$11))/CHOOSE(MATCH(Inputs!$B$3,{"weibull","lognormal","loglogistic"},0),Inputs!$F$7,Inputs!$F$9,Inputs!$F$11),TRUE))))</f>
        <v/>
      </c>
      <c r="D327">
        <f>IF(B327=0,1,IF(Inputs!$B$3="weibull",EXP(-(B327/CHOOSE(MATCH(Inputs!$B$3,{"weibull","lognormal","loglogistic"},0),Inputs!$F$8,Inputs!$F$10,Inputs!$F$12))^CHOOSE(MATCH(Inputs!$B$3,{"weibull","lognormal","loglogistic"},0),Inputs!$D$8,Inputs!$D$10,Inputs!$D$12)),IF(Inputs!$B$3="loglogistic",1/(1+(B327/CHOOSE(MATCH(Inputs!$B$3,{"weibull","lognormal","loglogistic"},0),Inputs!$F$8,Inputs!$F$10,Inputs!$F$12))^CHOOSE(MATCH(Inputs!$B$3,{"weibull","lognormal","loglogistic"},0),Inputs!$D$8,Inputs!$D$10,Inputs!$D$12)),1-NORM.S.DIST((LN(B327)-CHOOSE(MATCH(Inputs!$B$3,{"weibull","lognormal","loglogistic"},0),Inputs!$D$8,Inputs!$D$10,Inputs!$D$12))/CHOOSE(MATCH(Inputs!$B$3,{"weibull","lognormal","loglogistic"},0),Inputs!$F$8,Inputs!$F$10,Inputs!$F$12),TRUE))))</f>
        <v/>
      </c>
      <c r="E327">
        <f>(C326+C327)/2/12</f>
        <v/>
      </c>
      <c r="F327">
        <f>(D326+D327)/2/12</f>
        <v/>
      </c>
    </row>
    <row r="328">
      <c r="A328" t="n">
        <v>326</v>
      </c>
      <c r="B328">
        <f>A328/12</f>
        <v/>
      </c>
      <c r="C328">
        <f>IF(B328=0,1,IF(Inputs!$B$3="weibull",EXP(-(B328/CHOOSE(MATCH(Inputs!$B$3,{"weibull","lognormal","loglogistic"},0),Inputs!$F$7,Inputs!$F$9,Inputs!$F$11))^CHOOSE(MATCH(Inputs!$B$3,{"weibull","lognormal","loglogistic"},0),Inputs!$D$7,Inputs!$D$9,Inputs!$D$11)),IF(Inputs!$B$3="loglogistic",1/(1+(B328/CHOOSE(MATCH(Inputs!$B$3,{"weibull","lognormal","loglogistic"},0),Inputs!$F$7,Inputs!$F$9,Inputs!$F$11))^CHOOSE(MATCH(Inputs!$B$3,{"weibull","lognormal","loglogistic"},0),Inputs!$D$7,Inputs!$D$9,Inputs!$D$11)),1-NORM.S.DIST((LN(B328)-CHOOSE(MATCH(Inputs!$B$3,{"weibull","lognormal","loglogistic"},0),Inputs!$D$7,Inputs!$D$9,Inputs!$D$11))/CHOOSE(MATCH(Inputs!$B$3,{"weibull","lognormal","loglogistic"},0),Inputs!$F$7,Inputs!$F$9,Inputs!$F$11),TRUE))))</f>
        <v/>
      </c>
      <c r="D328">
        <f>IF(B328=0,1,IF(Inputs!$B$3="weibull",EXP(-(B328/CHOOSE(MATCH(Inputs!$B$3,{"weibull","lognormal","loglogistic"},0),Inputs!$F$8,Inputs!$F$10,Inputs!$F$12))^CHOOSE(MATCH(Inputs!$B$3,{"weibull","lognormal","loglogistic"},0),Inputs!$D$8,Inputs!$D$10,Inputs!$D$12)),IF(Inputs!$B$3="loglogistic",1/(1+(B328/CHOOSE(MATCH(Inputs!$B$3,{"weibull","lognormal","loglogistic"},0),Inputs!$F$8,Inputs!$F$10,Inputs!$F$12))^CHOOSE(MATCH(Inputs!$B$3,{"weibull","lognormal","loglogistic"},0),Inputs!$D$8,Inputs!$D$10,Inputs!$D$12)),1-NORM.S.DIST((LN(B328)-CHOOSE(MATCH(Inputs!$B$3,{"weibull","lognormal","loglogistic"},0),Inputs!$D$8,Inputs!$D$10,Inputs!$D$12))/CHOOSE(MATCH(Inputs!$B$3,{"weibull","lognormal","loglogistic"},0),Inputs!$F$8,Inputs!$F$10,Inputs!$F$12),TRUE))))</f>
        <v/>
      </c>
      <c r="E328">
        <f>(C327+C328)/2/12</f>
        <v/>
      </c>
      <c r="F328">
        <f>(D327+D328)/2/12</f>
        <v/>
      </c>
    </row>
    <row r="329">
      <c r="A329" t="n">
        <v>327</v>
      </c>
      <c r="B329">
        <f>A329/12</f>
        <v/>
      </c>
      <c r="C329">
        <f>IF(B329=0,1,IF(Inputs!$B$3="weibull",EXP(-(B329/CHOOSE(MATCH(Inputs!$B$3,{"weibull","lognormal","loglogistic"},0),Inputs!$F$7,Inputs!$F$9,Inputs!$F$11))^CHOOSE(MATCH(Inputs!$B$3,{"weibull","lognormal","loglogistic"},0),Inputs!$D$7,Inputs!$D$9,Inputs!$D$11)),IF(Inputs!$B$3="loglogistic",1/(1+(B329/CHOOSE(MATCH(Inputs!$B$3,{"weibull","lognormal","loglogistic"},0),Inputs!$F$7,Inputs!$F$9,Inputs!$F$11))^CHOOSE(MATCH(Inputs!$B$3,{"weibull","lognormal","loglogistic"},0),Inputs!$D$7,Inputs!$D$9,Inputs!$D$11)),1-NORM.S.DIST((LN(B329)-CHOOSE(MATCH(Inputs!$B$3,{"weibull","lognormal","loglogistic"},0),Inputs!$D$7,Inputs!$D$9,Inputs!$D$11))/CHOOSE(MATCH(Inputs!$B$3,{"weibull","lognormal","loglogistic"},0),Inputs!$F$7,Inputs!$F$9,Inputs!$F$11),TRUE))))</f>
        <v/>
      </c>
      <c r="D329">
        <f>IF(B329=0,1,IF(Inputs!$B$3="weibull",EXP(-(B329/CHOOSE(MATCH(Inputs!$B$3,{"weibull","lognormal","loglogistic"},0),Inputs!$F$8,Inputs!$F$10,Inputs!$F$12))^CHOOSE(MATCH(Inputs!$B$3,{"weibull","lognormal","loglogistic"},0),Inputs!$D$8,Inputs!$D$10,Inputs!$D$12)),IF(Inputs!$B$3="loglogistic",1/(1+(B329/CHOOSE(MATCH(Inputs!$B$3,{"weibull","lognormal","loglogistic"},0),Inputs!$F$8,Inputs!$F$10,Inputs!$F$12))^CHOOSE(MATCH(Inputs!$B$3,{"weibull","lognormal","loglogistic"},0),Inputs!$D$8,Inputs!$D$10,Inputs!$D$12)),1-NORM.S.DIST((LN(B329)-CHOOSE(MATCH(Inputs!$B$3,{"weibull","lognormal","loglogistic"},0),Inputs!$D$8,Inputs!$D$10,Inputs!$D$12))/CHOOSE(MATCH(Inputs!$B$3,{"weibull","lognormal","loglogistic"},0),Inputs!$F$8,Inputs!$F$10,Inputs!$F$12),TRUE))))</f>
        <v/>
      </c>
      <c r="E329">
        <f>(C328+C329)/2/12</f>
        <v/>
      </c>
      <c r="F329">
        <f>(D328+D329)/2/12</f>
        <v/>
      </c>
    </row>
    <row r="330">
      <c r="A330" t="n">
        <v>328</v>
      </c>
      <c r="B330">
        <f>A330/12</f>
        <v/>
      </c>
      <c r="C330">
        <f>IF(B330=0,1,IF(Inputs!$B$3="weibull",EXP(-(B330/CHOOSE(MATCH(Inputs!$B$3,{"weibull","lognormal","loglogistic"},0),Inputs!$F$7,Inputs!$F$9,Inputs!$F$11))^CHOOSE(MATCH(Inputs!$B$3,{"weibull","lognormal","loglogistic"},0),Inputs!$D$7,Inputs!$D$9,Inputs!$D$11)),IF(Inputs!$B$3="loglogistic",1/(1+(B330/CHOOSE(MATCH(Inputs!$B$3,{"weibull","lognormal","loglogistic"},0),Inputs!$F$7,Inputs!$F$9,Inputs!$F$11))^CHOOSE(MATCH(Inputs!$B$3,{"weibull","lognormal","loglogistic"},0),Inputs!$D$7,Inputs!$D$9,Inputs!$D$11)),1-NORM.S.DIST((LN(B330)-CHOOSE(MATCH(Inputs!$B$3,{"weibull","lognormal","loglogistic"},0),Inputs!$D$7,Inputs!$D$9,Inputs!$D$11))/CHOOSE(MATCH(Inputs!$B$3,{"weibull","lognormal","loglogistic"},0),Inputs!$F$7,Inputs!$F$9,Inputs!$F$11),TRUE))))</f>
        <v/>
      </c>
      <c r="D330">
        <f>IF(B330=0,1,IF(Inputs!$B$3="weibull",EXP(-(B330/CHOOSE(MATCH(Inputs!$B$3,{"weibull","lognormal","loglogistic"},0),Inputs!$F$8,Inputs!$F$10,Inputs!$F$12))^CHOOSE(MATCH(Inputs!$B$3,{"weibull","lognormal","loglogistic"},0),Inputs!$D$8,Inputs!$D$10,Inputs!$D$12)),IF(Inputs!$B$3="loglogistic",1/(1+(B330/CHOOSE(MATCH(Inputs!$B$3,{"weibull","lognormal","loglogistic"},0),Inputs!$F$8,Inputs!$F$10,Inputs!$F$12))^CHOOSE(MATCH(Inputs!$B$3,{"weibull","lognormal","loglogistic"},0),Inputs!$D$8,Inputs!$D$10,Inputs!$D$12)),1-NORM.S.DIST((LN(B330)-CHOOSE(MATCH(Inputs!$B$3,{"weibull","lognormal","loglogistic"},0),Inputs!$D$8,Inputs!$D$10,Inputs!$D$12))/CHOOSE(MATCH(Inputs!$B$3,{"weibull","lognormal","loglogistic"},0),Inputs!$F$8,Inputs!$F$10,Inputs!$F$12),TRUE))))</f>
        <v/>
      </c>
      <c r="E330">
        <f>(C329+C330)/2/12</f>
        <v/>
      </c>
      <c r="F330">
        <f>(D329+D330)/2/12</f>
        <v/>
      </c>
    </row>
    <row r="331">
      <c r="A331" t="n">
        <v>329</v>
      </c>
      <c r="B331">
        <f>A331/12</f>
        <v/>
      </c>
      <c r="C331">
        <f>IF(B331=0,1,IF(Inputs!$B$3="weibull",EXP(-(B331/CHOOSE(MATCH(Inputs!$B$3,{"weibull","lognormal","loglogistic"},0),Inputs!$F$7,Inputs!$F$9,Inputs!$F$11))^CHOOSE(MATCH(Inputs!$B$3,{"weibull","lognormal","loglogistic"},0),Inputs!$D$7,Inputs!$D$9,Inputs!$D$11)),IF(Inputs!$B$3="loglogistic",1/(1+(B331/CHOOSE(MATCH(Inputs!$B$3,{"weibull","lognormal","loglogistic"},0),Inputs!$F$7,Inputs!$F$9,Inputs!$F$11))^CHOOSE(MATCH(Inputs!$B$3,{"weibull","lognormal","loglogistic"},0),Inputs!$D$7,Inputs!$D$9,Inputs!$D$11)),1-NORM.S.DIST((LN(B331)-CHOOSE(MATCH(Inputs!$B$3,{"weibull","lognormal","loglogistic"},0),Inputs!$D$7,Inputs!$D$9,Inputs!$D$11))/CHOOSE(MATCH(Inputs!$B$3,{"weibull","lognormal","loglogistic"},0),Inputs!$F$7,Inputs!$F$9,Inputs!$F$11),TRUE))))</f>
        <v/>
      </c>
      <c r="D331">
        <f>IF(B331=0,1,IF(Inputs!$B$3="weibull",EXP(-(B331/CHOOSE(MATCH(Inputs!$B$3,{"weibull","lognormal","loglogistic"},0),Inputs!$F$8,Inputs!$F$10,Inputs!$F$12))^CHOOSE(MATCH(Inputs!$B$3,{"weibull","lognormal","loglogistic"},0),Inputs!$D$8,Inputs!$D$10,Inputs!$D$12)),IF(Inputs!$B$3="loglogistic",1/(1+(B331/CHOOSE(MATCH(Inputs!$B$3,{"weibull","lognormal","loglogistic"},0),Inputs!$F$8,Inputs!$F$10,Inputs!$F$12))^CHOOSE(MATCH(Inputs!$B$3,{"weibull","lognormal","loglogistic"},0),Inputs!$D$8,Inputs!$D$10,Inputs!$D$12)),1-NORM.S.DIST((LN(B331)-CHOOSE(MATCH(Inputs!$B$3,{"weibull","lognormal","loglogistic"},0),Inputs!$D$8,Inputs!$D$10,Inputs!$D$12))/CHOOSE(MATCH(Inputs!$B$3,{"weibull","lognormal","loglogistic"},0),Inputs!$F$8,Inputs!$F$10,Inputs!$F$12),TRUE))))</f>
        <v/>
      </c>
      <c r="E331">
        <f>(C330+C331)/2/12</f>
        <v/>
      </c>
      <c r="F331">
        <f>(D330+D331)/2/12</f>
        <v/>
      </c>
    </row>
    <row r="332">
      <c r="A332" t="n">
        <v>330</v>
      </c>
      <c r="B332">
        <f>A332/12</f>
        <v/>
      </c>
      <c r="C332">
        <f>IF(B332=0,1,IF(Inputs!$B$3="weibull",EXP(-(B332/CHOOSE(MATCH(Inputs!$B$3,{"weibull","lognormal","loglogistic"},0),Inputs!$F$7,Inputs!$F$9,Inputs!$F$11))^CHOOSE(MATCH(Inputs!$B$3,{"weibull","lognormal","loglogistic"},0),Inputs!$D$7,Inputs!$D$9,Inputs!$D$11)),IF(Inputs!$B$3="loglogistic",1/(1+(B332/CHOOSE(MATCH(Inputs!$B$3,{"weibull","lognormal","loglogistic"},0),Inputs!$F$7,Inputs!$F$9,Inputs!$F$11))^CHOOSE(MATCH(Inputs!$B$3,{"weibull","lognormal","loglogistic"},0),Inputs!$D$7,Inputs!$D$9,Inputs!$D$11)),1-NORM.S.DIST((LN(B332)-CHOOSE(MATCH(Inputs!$B$3,{"weibull","lognormal","loglogistic"},0),Inputs!$D$7,Inputs!$D$9,Inputs!$D$11))/CHOOSE(MATCH(Inputs!$B$3,{"weibull","lognormal","loglogistic"},0),Inputs!$F$7,Inputs!$F$9,Inputs!$F$11),TRUE))))</f>
        <v/>
      </c>
      <c r="D332">
        <f>IF(B332=0,1,IF(Inputs!$B$3="weibull",EXP(-(B332/CHOOSE(MATCH(Inputs!$B$3,{"weibull","lognormal","loglogistic"},0),Inputs!$F$8,Inputs!$F$10,Inputs!$F$12))^CHOOSE(MATCH(Inputs!$B$3,{"weibull","lognormal","loglogistic"},0),Inputs!$D$8,Inputs!$D$10,Inputs!$D$12)),IF(Inputs!$B$3="loglogistic",1/(1+(B332/CHOOSE(MATCH(Inputs!$B$3,{"weibull","lognormal","loglogistic"},0),Inputs!$F$8,Inputs!$F$10,Inputs!$F$12))^CHOOSE(MATCH(Inputs!$B$3,{"weibull","lognormal","loglogistic"},0),Inputs!$D$8,Inputs!$D$10,Inputs!$D$12)),1-NORM.S.DIST((LN(B332)-CHOOSE(MATCH(Inputs!$B$3,{"weibull","lognormal","loglogistic"},0),Inputs!$D$8,Inputs!$D$10,Inputs!$D$12))/CHOOSE(MATCH(Inputs!$B$3,{"weibull","lognormal","loglogistic"},0),Inputs!$F$8,Inputs!$F$10,Inputs!$F$12),TRUE))))</f>
        <v/>
      </c>
      <c r="E332">
        <f>(C331+C332)/2/12</f>
        <v/>
      </c>
      <c r="F332">
        <f>(D331+D332)/2/12</f>
        <v/>
      </c>
    </row>
    <row r="333">
      <c r="A333" t="n">
        <v>331</v>
      </c>
      <c r="B333">
        <f>A333/12</f>
        <v/>
      </c>
      <c r="C333">
        <f>IF(B333=0,1,IF(Inputs!$B$3="weibull",EXP(-(B333/CHOOSE(MATCH(Inputs!$B$3,{"weibull","lognormal","loglogistic"},0),Inputs!$F$7,Inputs!$F$9,Inputs!$F$11))^CHOOSE(MATCH(Inputs!$B$3,{"weibull","lognormal","loglogistic"},0),Inputs!$D$7,Inputs!$D$9,Inputs!$D$11)),IF(Inputs!$B$3="loglogistic",1/(1+(B333/CHOOSE(MATCH(Inputs!$B$3,{"weibull","lognormal","loglogistic"},0),Inputs!$F$7,Inputs!$F$9,Inputs!$F$11))^CHOOSE(MATCH(Inputs!$B$3,{"weibull","lognormal","loglogistic"},0),Inputs!$D$7,Inputs!$D$9,Inputs!$D$11)),1-NORM.S.DIST((LN(B333)-CHOOSE(MATCH(Inputs!$B$3,{"weibull","lognormal","loglogistic"},0),Inputs!$D$7,Inputs!$D$9,Inputs!$D$11))/CHOOSE(MATCH(Inputs!$B$3,{"weibull","lognormal","loglogistic"},0),Inputs!$F$7,Inputs!$F$9,Inputs!$F$11),TRUE))))</f>
        <v/>
      </c>
      <c r="D333">
        <f>IF(B333=0,1,IF(Inputs!$B$3="weibull",EXP(-(B333/CHOOSE(MATCH(Inputs!$B$3,{"weibull","lognormal","loglogistic"},0),Inputs!$F$8,Inputs!$F$10,Inputs!$F$12))^CHOOSE(MATCH(Inputs!$B$3,{"weibull","lognormal","loglogistic"},0),Inputs!$D$8,Inputs!$D$10,Inputs!$D$12)),IF(Inputs!$B$3="loglogistic",1/(1+(B333/CHOOSE(MATCH(Inputs!$B$3,{"weibull","lognormal","loglogistic"},0),Inputs!$F$8,Inputs!$F$10,Inputs!$F$12))^CHOOSE(MATCH(Inputs!$B$3,{"weibull","lognormal","loglogistic"},0),Inputs!$D$8,Inputs!$D$10,Inputs!$D$12)),1-NORM.S.DIST((LN(B333)-CHOOSE(MATCH(Inputs!$B$3,{"weibull","lognormal","loglogistic"},0),Inputs!$D$8,Inputs!$D$10,Inputs!$D$12))/CHOOSE(MATCH(Inputs!$B$3,{"weibull","lognormal","loglogistic"},0),Inputs!$F$8,Inputs!$F$10,Inputs!$F$12),TRUE))))</f>
        <v/>
      </c>
      <c r="E333">
        <f>(C332+C333)/2/12</f>
        <v/>
      </c>
      <c r="F333">
        <f>(D332+D333)/2/12</f>
        <v/>
      </c>
    </row>
    <row r="334">
      <c r="A334" t="n">
        <v>332</v>
      </c>
      <c r="B334">
        <f>A334/12</f>
        <v/>
      </c>
      <c r="C334">
        <f>IF(B334=0,1,IF(Inputs!$B$3="weibull",EXP(-(B334/CHOOSE(MATCH(Inputs!$B$3,{"weibull","lognormal","loglogistic"},0),Inputs!$F$7,Inputs!$F$9,Inputs!$F$11))^CHOOSE(MATCH(Inputs!$B$3,{"weibull","lognormal","loglogistic"},0),Inputs!$D$7,Inputs!$D$9,Inputs!$D$11)),IF(Inputs!$B$3="loglogistic",1/(1+(B334/CHOOSE(MATCH(Inputs!$B$3,{"weibull","lognormal","loglogistic"},0),Inputs!$F$7,Inputs!$F$9,Inputs!$F$11))^CHOOSE(MATCH(Inputs!$B$3,{"weibull","lognormal","loglogistic"},0),Inputs!$D$7,Inputs!$D$9,Inputs!$D$11)),1-NORM.S.DIST((LN(B334)-CHOOSE(MATCH(Inputs!$B$3,{"weibull","lognormal","loglogistic"},0),Inputs!$D$7,Inputs!$D$9,Inputs!$D$11))/CHOOSE(MATCH(Inputs!$B$3,{"weibull","lognormal","loglogistic"},0),Inputs!$F$7,Inputs!$F$9,Inputs!$F$11),TRUE))))</f>
        <v/>
      </c>
      <c r="D334">
        <f>IF(B334=0,1,IF(Inputs!$B$3="weibull",EXP(-(B334/CHOOSE(MATCH(Inputs!$B$3,{"weibull","lognormal","loglogistic"},0),Inputs!$F$8,Inputs!$F$10,Inputs!$F$12))^CHOOSE(MATCH(Inputs!$B$3,{"weibull","lognormal","loglogistic"},0),Inputs!$D$8,Inputs!$D$10,Inputs!$D$12)),IF(Inputs!$B$3="loglogistic",1/(1+(B334/CHOOSE(MATCH(Inputs!$B$3,{"weibull","lognormal","loglogistic"},0),Inputs!$F$8,Inputs!$F$10,Inputs!$F$12))^CHOOSE(MATCH(Inputs!$B$3,{"weibull","lognormal","loglogistic"},0),Inputs!$D$8,Inputs!$D$10,Inputs!$D$12)),1-NORM.S.DIST((LN(B334)-CHOOSE(MATCH(Inputs!$B$3,{"weibull","lognormal","loglogistic"},0),Inputs!$D$8,Inputs!$D$10,Inputs!$D$12))/CHOOSE(MATCH(Inputs!$B$3,{"weibull","lognormal","loglogistic"},0),Inputs!$F$8,Inputs!$F$10,Inputs!$F$12),TRUE))))</f>
        <v/>
      </c>
      <c r="E334">
        <f>(C333+C334)/2/12</f>
        <v/>
      </c>
      <c r="F334">
        <f>(D333+D334)/2/12</f>
        <v/>
      </c>
    </row>
    <row r="335">
      <c r="A335" t="n">
        <v>333</v>
      </c>
      <c r="B335">
        <f>A335/12</f>
        <v/>
      </c>
      <c r="C335">
        <f>IF(B335=0,1,IF(Inputs!$B$3="weibull",EXP(-(B335/CHOOSE(MATCH(Inputs!$B$3,{"weibull","lognormal","loglogistic"},0),Inputs!$F$7,Inputs!$F$9,Inputs!$F$11))^CHOOSE(MATCH(Inputs!$B$3,{"weibull","lognormal","loglogistic"},0),Inputs!$D$7,Inputs!$D$9,Inputs!$D$11)),IF(Inputs!$B$3="loglogistic",1/(1+(B335/CHOOSE(MATCH(Inputs!$B$3,{"weibull","lognormal","loglogistic"},0),Inputs!$F$7,Inputs!$F$9,Inputs!$F$11))^CHOOSE(MATCH(Inputs!$B$3,{"weibull","lognormal","loglogistic"},0),Inputs!$D$7,Inputs!$D$9,Inputs!$D$11)),1-NORM.S.DIST((LN(B335)-CHOOSE(MATCH(Inputs!$B$3,{"weibull","lognormal","loglogistic"},0),Inputs!$D$7,Inputs!$D$9,Inputs!$D$11))/CHOOSE(MATCH(Inputs!$B$3,{"weibull","lognormal","loglogistic"},0),Inputs!$F$7,Inputs!$F$9,Inputs!$F$11),TRUE))))</f>
        <v/>
      </c>
      <c r="D335">
        <f>IF(B335=0,1,IF(Inputs!$B$3="weibull",EXP(-(B335/CHOOSE(MATCH(Inputs!$B$3,{"weibull","lognormal","loglogistic"},0),Inputs!$F$8,Inputs!$F$10,Inputs!$F$12))^CHOOSE(MATCH(Inputs!$B$3,{"weibull","lognormal","loglogistic"},0),Inputs!$D$8,Inputs!$D$10,Inputs!$D$12)),IF(Inputs!$B$3="loglogistic",1/(1+(B335/CHOOSE(MATCH(Inputs!$B$3,{"weibull","lognormal","loglogistic"},0),Inputs!$F$8,Inputs!$F$10,Inputs!$F$12))^CHOOSE(MATCH(Inputs!$B$3,{"weibull","lognormal","loglogistic"},0),Inputs!$D$8,Inputs!$D$10,Inputs!$D$12)),1-NORM.S.DIST((LN(B335)-CHOOSE(MATCH(Inputs!$B$3,{"weibull","lognormal","loglogistic"},0),Inputs!$D$8,Inputs!$D$10,Inputs!$D$12))/CHOOSE(MATCH(Inputs!$B$3,{"weibull","lognormal","loglogistic"},0),Inputs!$F$8,Inputs!$F$10,Inputs!$F$12),TRUE))))</f>
        <v/>
      </c>
      <c r="E335">
        <f>(C334+C335)/2/12</f>
        <v/>
      </c>
      <c r="F335">
        <f>(D334+D335)/2/12</f>
        <v/>
      </c>
    </row>
    <row r="336">
      <c r="A336" t="n">
        <v>334</v>
      </c>
      <c r="B336">
        <f>A336/12</f>
        <v/>
      </c>
      <c r="C336">
        <f>IF(B336=0,1,IF(Inputs!$B$3="weibull",EXP(-(B336/CHOOSE(MATCH(Inputs!$B$3,{"weibull","lognormal","loglogistic"},0),Inputs!$F$7,Inputs!$F$9,Inputs!$F$11))^CHOOSE(MATCH(Inputs!$B$3,{"weibull","lognormal","loglogistic"},0),Inputs!$D$7,Inputs!$D$9,Inputs!$D$11)),IF(Inputs!$B$3="loglogistic",1/(1+(B336/CHOOSE(MATCH(Inputs!$B$3,{"weibull","lognormal","loglogistic"},0),Inputs!$F$7,Inputs!$F$9,Inputs!$F$11))^CHOOSE(MATCH(Inputs!$B$3,{"weibull","lognormal","loglogistic"},0),Inputs!$D$7,Inputs!$D$9,Inputs!$D$11)),1-NORM.S.DIST((LN(B336)-CHOOSE(MATCH(Inputs!$B$3,{"weibull","lognormal","loglogistic"},0),Inputs!$D$7,Inputs!$D$9,Inputs!$D$11))/CHOOSE(MATCH(Inputs!$B$3,{"weibull","lognormal","loglogistic"},0),Inputs!$F$7,Inputs!$F$9,Inputs!$F$11),TRUE))))</f>
        <v/>
      </c>
      <c r="D336">
        <f>IF(B336=0,1,IF(Inputs!$B$3="weibull",EXP(-(B336/CHOOSE(MATCH(Inputs!$B$3,{"weibull","lognormal","loglogistic"},0),Inputs!$F$8,Inputs!$F$10,Inputs!$F$12))^CHOOSE(MATCH(Inputs!$B$3,{"weibull","lognormal","loglogistic"},0),Inputs!$D$8,Inputs!$D$10,Inputs!$D$12)),IF(Inputs!$B$3="loglogistic",1/(1+(B336/CHOOSE(MATCH(Inputs!$B$3,{"weibull","lognormal","loglogistic"},0),Inputs!$F$8,Inputs!$F$10,Inputs!$F$12))^CHOOSE(MATCH(Inputs!$B$3,{"weibull","lognormal","loglogistic"},0),Inputs!$D$8,Inputs!$D$10,Inputs!$D$12)),1-NORM.S.DIST((LN(B336)-CHOOSE(MATCH(Inputs!$B$3,{"weibull","lognormal","loglogistic"},0),Inputs!$D$8,Inputs!$D$10,Inputs!$D$12))/CHOOSE(MATCH(Inputs!$B$3,{"weibull","lognormal","loglogistic"},0),Inputs!$F$8,Inputs!$F$10,Inputs!$F$12),TRUE))))</f>
        <v/>
      </c>
      <c r="E336">
        <f>(C335+C336)/2/12</f>
        <v/>
      </c>
      <c r="F336">
        <f>(D335+D336)/2/12</f>
        <v/>
      </c>
    </row>
    <row r="337">
      <c r="A337" t="n">
        <v>335</v>
      </c>
      <c r="B337">
        <f>A337/12</f>
        <v/>
      </c>
      <c r="C337">
        <f>IF(B337=0,1,IF(Inputs!$B$3="weibull",EXP(-(B337/CHOOSE(MATCH(Inputs!$B$3,{"weibull","lognormal","loglogistic"},0),Inputs!$F$7,Inputs!$F$9,Inputs!$F$11))^CHOOSE(MATCH(Inputs!$B$3,{"weibull","lognormal","loglogistic"},0),Inputs!$D$7,Inputs!$D$9,Inputs!$D$11)),IF(Inputs!$B$3="loglogistic",1/(1+(B337/CHOOSE(MATCH(Inputs!$B$3,{"weibull","lognormal","loglogistic"},0),Inputs!$F$7,Inputs!$F$9,Inputs!$F$11))^CHOOSE(MATCH(Inputs!$B$3,{"weibull","lognormal","loglogistic"},0),Inputs!$D$7,Inputs!$D$9,Inputs!$D$11)),1-NORM.S.DIST((LN(B337)-CHOOSE(MATCH(Inputs!$B$3,{"weibull","lognormal","loglogistic"},0),Inputs!$D$7,Inputs!$D$9,Inputs!$D$11))/CHOOSE(MATCH(Inputs!$B$3,{"weibull","lognormal","loglogistic"},0),Inputs!$F$7,Inputs!$F$9,Inputs!$F$11),TRUE))))</f>
        <v/>
      </c>
      <c r="D337">
        <f>IF(B337=0,1,IF(Inputs!$B$3="weibull",EXP(-(B337/CHOOSE(MATCH(Inputs!$B$3,{"weibull","lognormal","loglogistic"},0),Inputs!$F$8,Inputs!$F$10,Inputs!$F$12))^CHOOSE(MATCH(Inputs!$B$3,{"weibull","lognormal","loglogistic"},0),Inputs!$D$8,Inputs!$D$10,Inputs!$D$12)),IF(Inputs!$B$3="loglogistic",1/(1+(B337/CHOOSE(MATCH(Inputs!$B$3,{"weibull","lognormal","loglogistic"},0),Inputs!$F$8,Inputs!$F$10,Inputs!$F$12))^CHOOSE(MATCH(Inputs!$B$3,{"weibull","lognormal","loglogistic"},0),Inputs!$D$8,Inputs!$D$10,Inputs!$D$12)),1-NORM.S.DIST((LN(B337)-CHOOSE(MATCH(Inputs!$B$3,{"weibull","lognormal","loglogistic"},0),Inputs!$D$8,Inputs!$D$10,Inputs!$D$12))/CHOOSE(MATCH(Inputs!$B$3,{"weibull","lognormal","loglogistic"},0),Inputs!$F$8,Inputs!$F$10,Inputs!$F$12),TRUE))))</f>
        <v/>
      </c>
      <c r="E337">
        <f>(C336+C337)/2/12</f>
        <v/>
      </c>
      <c r="F337">
        <f>(D336+D337)/2/12</f>
        <v/>
      </c>
    </row>
    <row r="338">
      <c r="A338" t="n">
        <v>336</v>
      </c>
      <c r="B338">
        <f>A338/12</f>
        <v/>
      </c>
      <c r="C338">
        <f>IF(B338=0,1,IF(Inputs!$B$3="weibull",EXP(-(B338/CHOOSE(MATCH(Inputs!$B$3,{"weibull","lognormal","loglogistic"},0),Inputs!$F$7,Inputs!$F$9,Inputs!$F$11))^CHOOSE(MATCH(Inputs!$B$3,{"weibull","lognormal","loglogistic"},0),Inputs!$D$7,Inputs!$D$9,Inputs!$D$11)),IF(Inputs!$B$3="loglogistic",1/(1+(B338/CHOOSE(MATCH(Inputs!$B$3,{"weibull","lognormal","loglogistic"},0),Inputs!$F$7,Inputs!$F$9,Inputs!$F$11))^CHOOSE(MATCH(Inputs!$B$3,{"weibull","lognormal","loglogistic"},0),Inputs!$D$7,Inputs!$D$9,Inputs!$D$11)),1-NORM.S.DIST((LN(B338)-CHOOSE(MATCH(Inputs!$B$3,{"weibull","lognormal","loglogistic"},0),Inputs!$D$7,Inputs!$D$9,Inputs!$D$11))/CHOOSE(MATCH(Inputs!$B$3,{"weibull","lognormal","loglogistic"},0),Inputs!$F$7,Inputs!$F$9,Inputs!$F$11),TRUE))))</f>
        <v/>
      </c>
      <c r="D338">
        <f>IF(B338=0,1,IF(Inputs!$B$3="weibull",EXP(-(B338/CHOOSE(MATCH(Inputs!$B$3,{"weibull","lognormal","loglogistic"},0),Inputs!$F$8,Inputs!$F$10,Inputs!$F$12))^CHOOSE(MATCH(Inputs!$B$3,{"weibull","lognormal","loglogistic"},0),Inputs!$D$8,Inputs!$D$10,Inputs!$D$12)),IF(Inputs!$B$3="loglogistic",1/(1+(B338/CHOOSE(MATCH(Inputs!$B$3,{"weibull","lognormal","loglogistic"},0),Inputs!$F$8,Inputs!$F$10,Inputs!$F$12))^CHOOSE(MATCH(Inputs!$B$3,{"weibull","lognormal","loglogistic"},0),Inputs!$D$8,Inputs!$D$10,Inputs!$D$12)),1-NORM.S.DIST((LN(B338)-CHOOSE(MATCH(Inputs!$B$3,{"weibull","lognormal","loglogistic"},0),Inputs!$D$8,Inputs!$D$10,Inputs!$D$12))/CHOOSE(MATCH(Inputs!$B$3,{"weibull","lognormal","loglogistic"},0),Inputs!$F$8,Inputs!$F$10,Inputs!$F$12),TRUE))))</f>
        <v/>
      </c>
      <c r="E338">
        <f>(C337+C338)/2/12</f>
        <v/>
      </c>
      <c r="F338">
        <f>(D337+D338)/2/12</f>
        <v/>
      </c>
    </row>
    <row r="339">
      <c r="A339" t="n">
        <v>337</v>
      </c>
      <c r="B339">
        <f>A339/12</f>
        <v/>
      </c>
      <c r="C339">
        <f>IF(B339=0,1,IF(Inputs!$B$3="weibull",EXP(-(B339/CHOOSE(MATCH(Inputs!$B$3,{"weibull","lognormal","loglogistic"},0),Inputs!$F$7,Inputs!$F$9,Inputs!$F$11))^CHOOSE(MATCH(Inputs!$B$3,{"weibull","lognormal","loglogistic"},0),Inputs!$D$7,Inputs!$D$9,Inputs!$D$11)),IF(Inputs!$B$3="loglogistic",1/(1+(B339/CHOOSE(MATCH(Inputs!$B$3,{"weibull","lognormal","loglogistic"},0),Inputs!$F$7,Inputs!$F$9,Inputs!$F$11))^CHOOSE(MATCH(Inputs!$B$3,{"weibull","lognormal","loglogistic"},0),Inputs!$D$7,Inputs!$D$9,Inputs!$D$11)),1-NORM.S.DIST((LN(B339)-CHOOSE(MATCH(Inputs!$B$3,{"weibull","lognormal","loglogistic"},0),Inputs!$D$7,Inputs!$D$9,Inputs!$D$11))/CHOOSE(MATCH(Inputs!$B$3,{"weibull","lognormal","loglogistic"},0),Inputs!$F$7,Inputs!$F$9,Inputs!$F$11),TRUE))))</f>
        <v/>
      </c>
      <c r="D339">
        <f>IF(B339=0,1,IF(Inputs!$B$3="weibull",EXP(-(B339/CHOOSE(MATCH(Inputs!$B$3,{"weibull","lognormal","loglogistic"},0),Inputs!$F$8,Inputs!$F$10,Inputs!$F$12))^CHOOSE(MATCH(Inputs!$B$3,{"weibull","lognormal","loglogistic"},0),Inputs!$D$8,Inputs!$D$10,Inputs!$D$12)),IF(Inputs!$B$3="loglogistic",1/(1+(B339/CHOOSE(MATCH(Inputs!$B$3,{"weibull","lognormal","loglogistic"},0),Inputs!$F$8,Inputs!$F$10,Inputs!$F$12))^CHOOSE(MATCH(Inputs!$B$3,{"weibull","lognormal","loglogistic"},0),Inputs!$D$8,Inputs!$D$10,Inputs!$D$12)),1-NORM.S.DIST((LN(B339)-CHOOSE(MATCH(Inputs!$B$3,{"weibull","lognormal","loglogistic"},0),Inputs!$D$8,Inputs!$D$10,Inputs!$D$12))/CHOOSE(MATCH(Inputs!$B$3,{"weibull","lognormal","loglogistic"},0),Inputs!$F$8,Inputs!$F$10,Inputs!$F$12),TRUE))))</f>
        <v/>
      </c>
      <c r="E339">
        <f>(C338+C339)/2/12</f>
        <v/>
      </c>
      <c r="F339">
        <f>(D338+D339)/2/12</f>
        <v/>
      </c>
    </row>
    <row r="340">
      <c r="A340" t="n">
        <v>338</v>
      </c>
      <c r="B340">
        <f>A340/12</f>
        <v/>
      </c>
      <c r="C340">
        <f>IF(B340=0,1,IF(Inputs!$B$3="weibull",EXP(-(B340/CHOOSE(MATCH(Inputs!$B$3,{"weibull","lognormal","loglogistic"},0),Inputs!$F$7,Inputs!$F$9,Inputs!$F$11))^CHOOSE(MATCH(Inputs!$B$3,{"weibull","lognormal","loglogistic"},0),Inputs!$D$7,Inputs!$D$9,Inputs!$D$11)),IF(Inputs!$B$3="loglogistic",1/(1+(B340/CHOOSE(MATCH(Inputs!$B$3,{"weibull","lognormal","loglogistic"},0),Inputs!$F$7,Inputs!$F$9,Inputs!$F$11))^CHOOSE(MATCH(Inputs!$B$3,{"weibull","lognormal","loglogistic"},0),Inputs!$D$7,Inputs!$D$9,Inputs!$D$11)),1-NORM.S.DIST((LN(B340)-CHOOSE(MATCH(Inputs!$B$3,{"weibull","lognormal","loglogistic"},0),Inputs!$D$7,Inputs!$D$9,Inputs!$D$11))/CHOOSE(MATCH(Inputs!$B$3,{"weibull","lognormal","loglogistic"},0),Inputs!$F$7,Inputs!$F$9,Inputs!$F$11),TRUE))))</f>
        <v/>
      </c>
      <c r="D340">
        <f>IF(B340=0,1,IF(Inputs!$B$3="weibull",EXP(-(B340/CHOOSE(MATCH(Inputs!$B$3,{"weibull","lognormal","loglogistic"},0),Inputs!$F$8,Inputs!$F$10,Inputs!$F$12))^CHOOSE(MATCH(Inputs!$B$3,{"weibull","lognormal","loglogistic"},0),Inputs!$D$8,Inputs!$D$10,Inputs!$D$12)),IF(Inputs!$B$3="loglogistic",1/(1+(B340/CHOOSE(MATCH(Inputs!$B$3,{"weibull","lognormal","loglogistic"},0),Inputs!$F$8,Inputs!$F$10,Inputs!$F$12))^CHOOSE(MATCH(Inputs!$B$3,{"weibull","lognormal","loglogistic"},0),Inputs!$D$8,Inputs!$D$10,Inputs!$D$12)),1-NORM.S.DIST((LN(B340)-CHOOSE(MATCH(Inputs!$B$3,{"weibull","lognormal","loglogistic"},0),Inputs!$D$8,Inputs!$D$10,Inputs!$D$12))/CHOOSE(MATCH(Inputs!$B$3,{"weibull","lognormal","loglogistic"},0),Inputs!$F$8,Inputs!$F$10,Inputs!$F$12),TRUE))))</f>
        <v/>
      </c>
      <c r="E340">
        <f>(C339+C340)/2/12</f>
        <v/>
      </c>
      <c r="F340">
        <f>(D339+D340)/2/12</f>
        <v/>
      </c>
    </row>
    <row r="341">
      <c r="A341" t="n">
        <v>339</v>
      </c>
      <c r="B341">
        <f>A341/12</f>
        <v/>
      </c>
      <c r="C341">
        <f>IF(B341=0,1,IF(Inputs!$B$3="weibull",EXP(-(B341/CHOOSE(MATCH(Inputs!$B$3,{"weibull","lognormal","loglogistic"},0),Inputs!$F$7,Inputs!$F$9,Inputs!$F$11))^CHOOSE(MATCH(Inputs!$B$3,{"weibull","lognormal","loglogistic"},0),Inputs!$D$7,Inputs!$D$9,Inputs!$D$11)),IF(Inputs!$B$3="loglogistic",1/(1+(B341/CHOOSE(MATCH(Inputs!$B$3,{"weibull","lognormal","loglogistic"},0),Inputs!$F$7,Inputs!$F$9,Inputs!$F$11))^CHOOSE(MATCH(Inputs!$B$3,{"weibull","lognormal","loglogistic"},0),Inputs!$D$7,Inputs!$D$9,Inputs!$D$11)),1-NORM.S.DIST((LN(B341)-CHOOSE(MATCH(Inputs!$B$3,{"weibull","lognormal","loglogistic"},0),Inputs!$D$7,Inputs!$D$9,Inputs!$D$11))/CHOOSE(MATCH(Inputs!$B$3,{"weibull","lognormal","loglogistic"},0),Inputs!$F$7,Inputs!$F$9,Inputs!$F$11),TRUE))))</f>
        <v/>
      </c>
      <c r="D341">
        <f>IF(B341=0,1,IF(Inputs!$B$3="weibull",EXP(-(B341/CHOOSE(MATCH(Inputs!$B$3,{"weibull","lognormal","loglogistic"},0),Inputs!$F$8,Inputs!$F$10,Inputs!$F$12))^CHOOSE(MATCH(Inputs!$B$3,{"weibull","lognormal","loglogistic"},0),Inputs!$D$8,Inputs!$D$10,Inputs!$D$12)),IF(Inputs!$B$3="loglogistic",1/(1+(B341/CHOOSE(MATCH(Inputs!$B$3,{"weibull","lognormal","loglogistic"},0),Inputs!$F$8,Inputs!$F$10,Inputs!$F$12))^CHOOSE(MATCH(Inputs!$B$3,{"weibull","lognormal","loglogistic"},0),Inputs!$D$8,Inputs!$D$10,Inputs!$D$12)),1-NORM.S.DIST((LN(B341)-CHOOSE(MATCH(Inputs!$B$3,{"weibull","lognormal","loglogistic"},0),Inputs!$D$8,Inputs!$D$10,Inputs!$D$12))/CHOOSE(MATCH(Inputs!$B$3,{"weibull","lognormal","loglogistic"},0),Inputs!$F$8,Inputs!$F$10,Inputs!$F$12),TRUE))))</f>
        <v/>
      </c>
      <c r="E341">
        <f>(C340+C341)/2/12</f>
        <v/>
      </c>
      <c r="F341">
        <f>(D340+D341)/2/12</f>
        <v/>
      </c>
    </row>
    <row r="342">
      <c r="A342" t="n">
        <v>340</v>
      </c>
      <c r="B342">
        <f>A342/12</f>
        <v/>
      </c>
      <c r="C342">
        <f>IF(B342=0,1,IF(Inputs!$B$3="weibull",EXP(-(B342/CHOOSE(MATCH(Inputs!$B$3,{"weibull","lognormal","loglogistic"},0),Inputs!$F$7,Inputs!$F$9,Inputs!$F$11))^CHOOSE(MATCH(Inputs!$B$3,{"weibull","lognormal","loglogistic"},0),Inputs!$D$7,Inputs!$D$9,Inputs!$D$11)),IF(Inputs!$B$3="loglogistic",1/(1+(B342/CHOOSE(MATCH(Inputs!$B$3,{"weibull","lognormal","loglogistic"},0),Inputs!$F$7,Inputs!$F$9,Inputs!$F$11))^CHOOSE(MATCH(Inputs!$B$3,{"weibull","lognormal","loglogistic"},0),Inputs!$D$7,Inputs!$D$9,Inputs!$D$11)),1-NORM.S.DIST((LN(B342)-CHOOSE(MATCH(Inputs!$B$3,{"weibull","lognormal","loglogistic"},0),Inputs!$D$7,Inputs!$D$9,Inputs!$D$11))/CHOOSE(MATCH(Inputs!$B$3,{"weibull","lognormal","loglogistic"},0),Inputs!$F$7,Inputs!$F$9,Inputs!$F$11),TRUE))))</f>
        <v/>
      </c>
      <c r="D342">
        <f>IF(B342=0,1,IF(Inputs!$B$3="weibull",EXP(-(B342/CHOOSE(MATCH(Inputs!$B$3,{"weibull","lognormal","loglogistic"},0),Inputs!$F$8,Inputs!$F$10,Inputs!$F$12))^CHOOSE(MATCH(Inputs!$B$3,{"weibull","lognormal","loglogistic"},0),Inputs!$D$8,Inputs!$D$10,Inputs!$D$12)),IF(Inputs!$B$3="loglogistic",1/(1+(B342/CHOOSE(MATCH(Inputs!$B$3,{"weibull","lognormal","loglogistic"},0),Inputs!$F$8,Inputs!$F$10,Inputs!$F$12))^CHOOSE(MATCH(Inputs!$B$3,{"weibull","lognormal","loglogistic"},0),Inputs!$D$8,Inputs!$D$10,Inputs!$D$12)),1-NORM.S.DIST((LN(B342)-CHOOSE(MATCH(Inputs!$B$3,{"weibull","lognormal","loglogistic"},0),Inputs!$D$8,Inputs!$D$10,Inputs!$D$12))/CHOOSE(MATCH(Inputs!$B$3,{"weibull","lognormal","loglogistic"},0),Inputs!$F$8,Inputs!$F$10,Inputs!$F$12),TRUE))))</f>
        <v/>
      </c>
      <c r="E342">
        <f>(C341+C342)/2/12</f>
        <v/>
      </c>
      <c r="F342">
        <f>(D341+D342)/2/12</f>
        <v/>
      </c>
    </row>
    <row r="343">
      <c r="A343" t="n">
        <v>341</v>
      </c>
      <c r="B343">
        <f>A343/12</f>
        <v/>
      </c>
      <c r="C343">
        <f>IF(B343=0,1,IF(Inputs!$B$3="weibull",EXP(-(B343/CHOOSE(MATCH(Inputs!$B$3,{"weibull","lognormal","loglogistic"},0),Inputs!$F$7,Inputs!$F$9,Inputs!$F$11))^CHOOSE(MATCH(Inputs!$B$3,{"weibull","lognormal","loglogistic"},0),Inputs!$D$7,Inputs!$D$9,Inputs!$D$11)),IF(Inputs!$B$3="loglogistic",1/(1+(B343/CHOOSE(MATCH(Inputs!$B$3,{"weibull","lognormal","loglogistic"},0),Inputs!$F$7,Inputs!$F$9,Inputs!$F$11))^CHOOSE(MATCH(Inputs!$B$3,{"weibull","lognormal","loglogistic"},0),Inputs!$D$7,Inputs!$D$9,Inputs!$D$11)),1-NORM.S.DIST((LN(B343)-CHOOSE(MATCH(Inputs!$B$3,{"weibull","lognormal","loglogistic"},0),Inputs!$D$7,Inputs!$D$9,Inputs!$D$11))/CHOOSE(MATCH(Inputs!$B$3,{"weibull","lognormal","loglogistic"},0),Inputs!$F$7,Inputs!$F$9,Inputs!$F$11),TRUE))))</f>
        <v/>
      </c>
      <c r="D343">
        <f>IF(B343=0,1,IF(Inputs!$B$3="weibull",EXP(-(B343/CHOOSE(MATCH(Inputs!$B$3,{"weibull","lognormal","loglogistic"},0),Inputs!$F$8,Inputs!$F$10,Inputs!$F$12))^CHOOSE(MATCH(Inputs!$B$3,{"weibull","lognormal","loglogistic"},0),Inputs!$D$8,Inputs!$D$10,Inputs!$D$12)),IF(Inputs!$B$3="loglogistic",1/(1+(B343/CHOOSE(MATCH(Inputs!$B$3,{"weibull","lognormal","loglogistic"},0),Inputs!$F$8,Inputs!$F$10,Inputs!$F$12))^CHOOSE(MATCH(Inputs!$B$3,{"weibull","lognormal","loglogistic"},0),Inputs!$D$8,Inputs!$D$10,Inputs!$D$12)),1-NORM.S.DIST((LN(B343)-CHOOSE(MATCH(Inputs!$B$3,{"weibull","lognormal","loglogistic"},0),Inputs!$D$8,Inputs!$D$10,Inputs!$D$12))/CHOOSE(MATCH(Inputs!$B$3,{"weibull","lognormal","loglogistic"},0),Inputs!$F$8,Inputs!$F$10,Inputs!$F$12),TRUE))))</f>
        <v/>
      </c>
      <c r="E343">
        <f>(C342+C343)/2/12</f>
        <v/>
      </c>
      <c r="F343">
        <f>(D342+D343)/2/12</f>
        <v/>
      </c>
    </row>
    <row r="344">
      <c r="A344" t="n">
        <v>342</v>
      </c>
      <c r="B344">
        <f>A344/12</f>
        <v/>
      </c>
      <c r="C344">
        <f>IF(B344=0,1,IF(Inputs!$B$3="weibull",EXP(-(B344/CHOOSE(MATCH(Inputs!$B$3,{"weibull","lognormal","loglogistic"},0),Inputs!$F$7,Inputs!$F$9,Inputs!$F$11))^CHOOSE(MATCH(Inputs!$B$3,{"weibull","lognormal","loglogistic"},0),Inputs!$D$7,Inputs!$D$9,Inputs!$D$11)),IF(Inputs!$B$3="loglogistic",1/(1+(B344/CHOOSE(MATCH(Inputs!$B$3,{"weibull","lognormal","loglogistic"},0),Inputs!$F$7,Inputs!$F$9,Inputs!$F$11))^CHOOSE(MATCH(Inputs!$B$3,{"weibull","lognormal","loglogistic"},0),Inputs!$D$7,Inputs!$D$9,Inputs!$D$11)),1-NORM.S.DIST((LN(B344)-CHOOSE(MATCH(Inputs!$B$3,{"weibull","lognormal","loglogistic"},0),Inputs!$D$7,Inputs!$D$9,Inputs!$D$11))/CHOOSE(MATCH(Inputs!$B$3,{"weibull","lognormal","loglogistic"},0),Inputs!$F$7,Inputs!$F$9,Inputs!$F$11),TRUE))))</f>
        <v/>
      </c>
      <c r="D344">
        <f>IF(B344=0,1,IF(Inputs!$B$3="weibull",EXP(-(B344/CHOOSE(MATCH(Inputs!$B$3,{"weibull","lognormal","loglogistic"},0),Inputs!$F$8,Inputs!$F$10,Inputs!$F$12))^CHOOSE(MATCH(Inputs!$B$3,{"weibull","lognormal","loglogistic"},0),Inputs!$D$8,Inputs!$D$10,Inputs!$D$12)),IF(Inputs!$B$3="loglogistic",1/(1+(B344/CHOOSE(MATCH(Inputs!$B$3,{"weibull","lognormal","loglogistic"},0),Inputs!$F$8,Inputs!$F$10,Inputs!$F$12))^CHOOSE(MATCH(Inputs!$B$3,{"weibull","lognormal","loglogistic"},0),Inputs!$D$8,Inputs!$D$10,Inputs!$D$12)),1-NORM.S.DIST((LN(B344)-CHOOSE(MATCH(Inputs!$B$3,{"weibull","lognormal","loglogistic"},0),Inputs!$D$8,Inputs!$D$10,Inputs!$D$12))/CHOOSE(MATCH(Inputs!$B$3,{"weibull","lognormal","loglogistic"},0),Inputs!$F$8,Inputs!$F$10,Inputs!$F$12),TRUE))))</f>
        <v/>
      </c>
      <c r="E344">
        <f>(C343+C344)/2/12</f>
        <v/>
      </c>
      <c r="F344">
        <f>(D343+D344)/2/12</f>
        <v/>
      </c>
    </row>
    <row r="345">
      <c r="A345" t="n">
        <v>343</v>
      </c>
      <c r="B345">
        <f>A345/12</f>
        <v/>
      </c>
      <c r="C345">
        <f>IF(B345=0,1,IF(Inputs!$B$3="weibull",EXP(-(B345/CHOOSE(MATCH(Inputs!$B$3,{"weibull","lognormal","loglogistic"},0),Inputs!$F$7,Inputs!$F$9,Inputs!$F$11))^CHOOSE(MATCH(Inputs!$B$3,{"weibull","lognormal","loglogistic"},0),Inputs!$D$7,Inputs!$D$9,Inputs!$D$11)),IF(Inputs!$B$3="loglogistic",1/(1+(B345/CHOOSE(MATCH(Inputs!$B$3,{"weibull","lognormal","loglogistic"},0),Inputs!$F$7,Inputs!$F$9,Inputs!$F$11))^CHOOSE(MATCH(Inputs!$B$3,{"weibull","lognormal","loglogistic"},0),Inputs!$D$7,Inputs!$D$9,Inputs!$D$11)),1-NORM.S.DIST((LN(B345)-CHOOSE(MATCH(Inputs!$B$3,{"weibull","lognormal","loglogistic"},0),Inputs!$D$7,Inputs!$D$9,Inputs!$D$11))/CHOOSE(MATCH(Inputs!$B$3,{"weibull","lognormal","loglogistic"},0),Inputs!$F$7,Inputs!$F$9,Inputs!$F$11),TRUE))))</f>
        <v/>
      </c>
      <c r="D345">
        <f>IF(B345=0,1,IF(Inputs!$B$3="weibull",EXP(-(B345/CHOOSE(MATCH(Inputs!$B$3,{"weibull","lognormal","loglogistic"},0),Inputs!$F$8,Inputs!$F$10,Inputs!$F$12))^CHOOSE(MATCH(Inputs!$B$3,{"weibull","lognormal","loglogistic"},0),Inputs!$D$8,Inputs!$D$10,Inputs!$D$12)),IF(Inputs!$B$3="loglogistic",1/(1+(B345/CHOOSE(MATCH(Inputs!$B$3,{"weibull","lognormal","loglogistic"},0),Inputs!$F$8,Inputs!$F$10,Inputs!$F$12))^CHOOSE(MATCH(Inputs!$B$3,{"weibull","lognormal","loglogistic"},0),Inputs!$D$8,Inputs!$D$10,Inputs!$D$12)),1-NORM.S.DIST((LN(B345)-CHOOSE(MATCH(Inputs!$B$3,{"weibull","lognormal","loglogistic"},0),Inputs!$D$8,Inputs!$D$10,Inputs!$D$12))/CHOOSE(MATCH(Inputs!$B$3,{"weibull","lognormal","loglogistic"},0),Inputs!$F$8,Inputs!$F$10,Inputs!$F$12),TRUE))))</f>
        <v/>
      </c>
      <c r="E345">
        <f>(C344+C345)/2/12</f>
        <v/>
      </c>
      <c r="F345">
        <f>(D344+D345)/2/12</f>
        <v/>
      </c>
    </row>
    <row r="346">
      <c r="A346" t="n">
        <v>344</v>
      </c>
      <c r="B346">
        <f>A346/12</f>
        <v/>
      </c>
      <c r="C346">
        <f>IF(B346=0,1,IF(Inputs!$B$3="weibull",EXP(-(B346/CHOOSE(MATCH(Inputs!$B$3,{"weibull","lognormal","loglogistic"},0),Inputs!$F$7,Inputs!$F$9,Inputs!$F$11))^CHOOSE(MATCH(Inputs!$B$3,{"weibull","lognormal","loglogistic"},0),Inputs!$D$7,Inputs!$D$9,Inputs!$D$11)),IF(Inputs!$B$3="loglogistic",1/(1+(B346/CHOOSE(MATCH(Inputs!$B$3,{"weibull","lognormal","loglogistic"},0),Inputs!$F$7,Inputs!$F$9,Inputs!$F$11))^CHOOSE(MATCH(Inputs!$B$3,{"weibull","lognormal","loglogistic"},0),Inputs!$D$7,Inputs!$D$9,Inputs!$D$11)),1-NORM.S.DIST((LN(B346)-CHOOSE(MATCH(Inputs!$B$3,{"weibull","lognormal","loglogistic"},0),Inputs!$D$7,Inputs!$D$9,Inputs!$D$11))/CHOOSE(MATCH(Inputs!$B$3,{"weibull","lognormal","loglogistic"},0),Inputs!$F$7,Inputs!$F$9,Inputs!$F$11),TRUE))))</f>
        <v/>
      </c>
      <c r="D346">
        <f>IF(B346=0,1,IF(Inputs!$B$3="weibull",EXP(-(B346/CHOOSE(MATCH(Inputs!$B$3,{"weibull","lognormal","loglogistic"},0),Inputs!$F$8,Inputs!$F$10,Inputs!$F$12))^CHOOSE(MATCH(Inputs!$B$3,{"weibull","lognormal","loglogistic"},0),Inputs!$D$8,Inputs!$D$10,Inputs!$D$12)),IF(Inputs!$B$3="loglogistic",1/(1+(B346/CHOOSE(MATCH(Inputs!$B$3,{"weibull","lognormal","loglogistic"},0),Inputs!$F$8,Inputs!$F$10,Inputs!$F$12))^CHOOSE(MATCH(Inputs!$B$3,{"weibull","lognormal","loglogistic"},0),Inputs!$D$8,Inputs!$D$10,Inputs!$D$12)),1-NORM.S.DIST((LN(B346)-CHOOSE(MATCH(Inputs!$B$3,{"weibull","lognormal","loglogistic"},0),Inputs!$D$8,Inputs!$D$10,Inputs!$D$12))/CHOOSE(MATCH(Inputs!$B$3,{"weibull","lognormal","loglogistic"},0),Inputs!$F$8,Inputs!$F$10,Inputs!$F$12),TRUE))))</f>
        <v/>
      </c>
      <c r="E346">
        <f>(C345+C346)/2/12</f>
        <v/>
      </c>
      <c r="F346">
        <f>(D345+D346)/2/12</f>
        <v/>
      </c>
    </row>
    <row r="347">
      <c r="A347" t="n">
        <v>345</v>
      </c>
      <c r="B347">
        <f>A347/12</f>
        <v/>
      </c>
      <c r="C347">
        <f>IF(B347=0,1,IF(Inputs!$B$3="weibull",EXP(-(B347/CHOOSE(MATCH(Inputs!$B$3,{"weibull","lognormal","loglogistic"},0),Inputs!$F$7,Inputs!$F$9,Inputs!$F$11))^CHOOSE(MATCH(Inputs!$B$3,{"weibull","lognormal","loglogistic"},0),Inputs!$D$7,Inputs!$D$9,Inputs!$D$11)),IF(Inputs!$B$3="loglogistic",1/(1+(B347/CHOOSE(MATCH(Inputs!$B$3,{"weibull","lognormal","loglogistic"},0),Inputs!$F$7,Inputs!$F$9,Inputs!$F$11))^CHOOSE(MATCH(Inputs!$B$3,{"weibull","lognormal","loglogistic"},0),Inputs!$D$7,Inputs!$D$9,Inputs!$D$11)),1-NORM.S.DIST((LN(B347)-CHOOSE(MATCH(Inputs!$B$3,{"weibull","lognormal","loglogistic"},0),Inputs!$D$7,Inputs!$D$9,Inputs!$D$11))/CHOOSE(MATCH(Inputs!$B$3,{"weibull","lognormal","loglogistic"},0),Inputs!$F$7,Inputs!$F$9,Inputs!$F$11),TRUE))))</f>
        <v/>
      </c>
      <c r="D347">
        <f>IF(B347=0,1,IF(Inputs!$B$3="weibull",EXP(-(B347/CHOOSE(MATCH(Inputs!$B$3,{"weibull","lognormal","loglogistic"},0),Inputs!$F$8,Inputs!$F$10,Inputs!$F$12))^CHOOSE(MATCH(Inputs!$B$3,{"weibull","lognormal","loglogistic"},0),Inputs!$D$8,Inputs!$D$10,Inputs!$D$12)),IF(Inputs!$B$3="loglogistic",1/(1+(B347/CHOOSE(MATCH(Inputs!$B$3,{"weibull","lognormal","loglogistic"},0),Inputs!$F$8,Inputs!$F$10,Inputs!$F$12))^CHOOSE(MATCH(Inputs!$B$3,{"weibull","lognormal","loglogistic"},0),Inputs!$D$8,Inputs!$D$10,Inputs!$D$12)),1-NORM.S.DIST((LN(B347)-CHOOSE(MATCH(Inputs!$B$3,{"weibull","lognormal","loglogistic"},0),Inputs!$D$8,Inputs!$D$10,Inputs!$D$12))/CHOOSE(MATCH(Inputs!$B$3,{"weibull","lognormal","loglogistic"},0),Inputs!$F$8,Inputs!$F$10,Inputs!$F$12),TRUE))))</f>
        <v/>
      </c>
      <c r="E347">
        <f>(C346+C347)/2/12</f>
        <v/>
      </c>
      <c r="F347">
        <f>(D346+D347)/2/12</f>
        <v/>
      </c>
    </row>
    <row r="348">
      <c r="A348" t="n">
        <v>346</v>
      </c>
      <c r="B348">
        <f>A348/12</f>
        <v/>
      </c>
      <c r="C348">
        <f>IF(B348=0,1,IF(Inputs!$B$3="weibull",EXP(-(B348/CHOOSE(MATCH(Inputs!$B$3,{"weibull","lognormal","loglogistic"},0),Inputs!$F$7,Inputs!$F$9,Inputs!$F$11))^CHOOSE(MATCH(Inputs!$B$3,{"weibull","lognormal","loglogistic"},0),Inputs!$D$7,Inputs!$D$9,Inputs!$D$11)),IF(Inputs!$B$3="loglogistic",1/(1+(B348/CHOOSE(MATCH(Inputs!$B$3,{"weibull","lognormal","loglogistic"},0),Inputs!$F$7,Inputs!$F$9,Inputs!$F$11))^CHOOSE(MATCH(Inputs!$B$3,{"weibull","lognormal","loglogistic"},0),Inputs!$D$7,Inputs!$D$9,Inputs!$D$11)),1-NORM.S.DIST((LN(B348)-CHOOSE(MATCH(Inputs!$B$3,{"weibull","lognormal","loglogistic"},0),Inputs!$D$7,Inputs!$D$9,Inputs!$D$11))/CHOOSE(MATCH(Inputs!$B$3,{"weibull","lognormal","loglogistic"},0),Inputs!$F$7,Inputs!$F$9,Inputs!$F$11),TRUE))))</f>
        <v/>
      </c>
      <c r="D348">
        <f>IF(B348=0,1,IF(Inputs!$B$3="weibull",EXP(-(B348/CHOOSE(MATCH(Inputs!$B$3,{"weibull","lognormal","loglogistic"},0),Inputs!$F$8,Inputs!$F$10,Inputs!$F$12))^CHOOSE(MATCH(Inputs!$B$3,{"weibull","lognormal","loglogistic"},0),Inputs!$D$8,Inputs!$D$10,Inputs!$D$12)),IF(Inputs!$B$3="loglogistic",1/(1+(B348/CHOOSE(MATCH(Inputs!$B$3,{"weibull","lognormal","loglogistic"},0),Inputs!$F$8,Inputs!$F$10,Inputs!$F$12))^CHOOSE(MATCH(Inputs!$B$3,{"weibull","lognormal","loglogistic"},0),Inputs!$D$8,Inputs!$D$10,Inputs!$D$12)),1-NORM.S.DIST((LN(B348)-CHOOSE(MATCH(Inputs!$B$3,{"weibull","lognormal","loglogistic"},0),Inputs!$D$8,Inputs!$D$10,Inputs!$D$12))/CHOOSE(MATCH(Inputs!$B$3,{"weibull","lognormal","loglogistic"},0),Inputs!$F$8,Inputs!$F$10,Inputs!$F$12),TRUE))))</f>
        <v/>
      </c>
      <c r="E348">
        <f>(C347+C348)/2/12</f>
        <v/>
      </c>
      <c r="F348">
        <f>(D347+D348)/2/12</f>
        <v/>
      </c>
    </row>
    <row r="349">
      <c r="A349" t="n">
        <v>347</v>
      </c>
      <c r="B349">
        <f>A349/12</f>
        <v/>
      </c>
      <c r="C349">
        <f>IF(B349=0,1,IF(Inputs!$B$3="weibull",EXP(-(B349/CHOOSE(MATCH(Inputs!$B$3,{"weibull","lognormal","loglogistic"},0),Inputs!$F$7,Inputs!$F$9,Inputs!$F$11))^CHOOSE(MATCH(Inputs!$B$3,{"weibull","lognormal","loglogistic"},0),Inputs!$D$7,Inputs!$D$9,Inputs!$D$11)),IF(Inputs!$B$3="loglogistic",1/(1+(B349/CHOOSE(MATCH(Inputs!$B$3,{"weibull","lognormal","loglogistic"},0),Inputs!$F$7,Inputs!$F$9,Inputs!$F$11))^CHOOSE(MATCH(Inputs!$B$3,{"weibull","lognormal","loglogistic"},0),Inputs!$D$7,Inputs!$D$9,Inputs!$D$11)),1-NORM.S.DIST((LN(B349)-CHOOSE(MATCH(Inputs!$B$3,{"weibull","lognormal","loglogistic"},0),Inputs!$D$7,Inputs!$D$9,Inputs!$D$11))/CHOOSE(MATCH(Inputs!$B$3,{"weibull","lognormal","loglogistic"},0),Inputs!$F$7,Inputs!$F$9,Inputs!$F$11),TRUE))))</f>
        <v/>
      </c>
      <c r="D349">
        <f>IF(B349=0,1,IF(Inputs!$B$3="weibull",EXP(-(B349/CHOOSE(MATCH(Inputs!$B$3,{"weibull","lognormal","loglogistic"},0),Inputs!$F$8,Inputs!$F$10,Inputs!$F$12))^CHOOSE(MATCH(Inputs!$B$3,{"weibull","lognormal","loglogistic"},0),Inputs!$D$8,Inputs!$D$10,Inputs!$D$12)),IF(Inputs!$B$3="loglogistic",1/(1+(B349/CHOOSE(MATCH(Inputs!$B$3,{"weibull","lognormal","loglogistic"},0),Inputs!$F$8,Inputs!$F$10,Inputs!$F$12))^CHOOSE(MATCH(Inputs!$B$3,{"weibull","lognormal","loglogistic"},0),Inputs!$D$8,Inputs!$D$10,Inputs!$D$12)),1-NORM.S.DIST((LN(B349)-CHOOSE(MATCH(Inputs!$B$3,{"weibull","lognormal","loglogistic"},0),Inputs!$D$8,Inputs!$D$10,Inputs!$D$12))/CHOOSE(MATCH(Inputs!$B$3,{"weibull","lognormal","loglogistic"},0),Inputs!$F$8,Inputs!$F$10,Inputs!$F$12),TRUE))))</f>
        <v/>
      </c>
      <c r="E349">
        <f>(C348+C349)/2/12</f>
        <v/>
      </c>
      <c r="F349">
        <f>(D348+D349)/2/12</f>
        <v/>
      </c>
    </row>
    <row r="350">
      <c r="A350" t="n">
        <v>348</v>
      </c>
      <c r="B350">
        <f>A350/12</f>
        <v/>
      </c>
      <c r="C350">
        <f>IF(B350=0,1,IF(Inputs!$B$3="weibull",EXP(-(B350/CHOOSE(MATCH(Inputs!$B$3,{"weibull","lognormal","loglogistic"},0),Inputs!$F$7,Inputs!$F$9,Inputs!$F$11))^CHOOSE(MATCH(Inputs!$B$3,{"weibull","lognormal","loglogistic"},0),Inputs!$D$7,Inputs!$D$9,Inputs!$D$11)),IF(Inputs!$B$3="loglogistic",1/(1+(B350/CHOOSE(MATCH(Inputs!$B$3,{"weibull","lognormal","loglogistic"},0),Inputs!$F$7,Inputs!$F$9,Inputs!$F$11))^CHOOSE(MATCH(Inputs!$B$3,{"weibull","lognormal","loglogistic"},0),Inputs!$D$7,Inputs!$D$9,Inputs!$D$11)),1-NORM.S.DIST((LN(B350)-CHOOSE(MATCH(Inputs!$B$3,{"weibull","lognormal","loglogistic"},0),Inputs!$D$7,Inputs!$D$9,Inputs!$D$11))/CHOOSE(MATCH(Inputs!$B$3,{"weibull","lognormal","loglogistic"},0),Inputs!$F$7,Inputs!$F$9,Inputs!$F$11),TRUE))))</f>
        <v/>
      </c>
      <c r="D350">
        <f>IF(B350=0,1,IF(Inputs!$B$3="weibull",EXP(-(B350/CHOOSE(MATCH(Inputs!$B$3,{"weibull","lognormal","loglogistic"},0),Inputs!$F$8,Inputs!$F$10,Inputs!$F$12))^CHOOSE(MATCH(Inputs!$B$3,{"weibull","lognormal","loglogistic"},0),Inputs!$D$8,Inputs!$D$10,Inputs!$D$12)),IF(Inputs!$B$3="loglogistic",1/(1+(B350/CHOOSE(MATCH(Inputs!$B$3,{"weibull","lognormal","loglogistic"},0),Inputs!$F$8,Inputs!$F$10,Inputs!$F$12))^CHOOSE(MATCH(Inputs!$B$3,{"weibull","lognormal","loglogistic"},0),Inputs!$D$8,Inputs!$D$10,Inputs!$D$12)),1-NORM.S.DIST((LN(B350)-CHOOSE(MATCH(Inputs!$B$3,{"weibull","lognormal","loglogistic"},0),Inputs!$D$8,Inputs!$D$10,Inputs!$D$12))/CHOOSE(MATCH(Inputs!$B$3,{"weibull","lognormal","loglogistic"},0),Inputs!$F$8,Inputs!$F$10,Inputs!$F$12),TRUE))))</f>
        <v/>
      </c>
      <c r="E350">
        <f>(C349+C350)/2/12</f>
        <v/>
      </c>
      <c r="F350">
        <f>(D349+D350)/2/12</f>
        <v/>
      </c>
    </row>
    <row r="351">
      <c r="A351" t="n">
        <v>349</v>
      </c>
      <c r="B351">
        <f>A351/12</f>
        <v/>
      </c>
      <c r="C351">
        <f>IF(B351=0,1,IF(Inputs!$B$3="weibull",EXP(-(B351/CHOOSE(MATCH(Inputs!$B$3,{"weibull","lognormal","loglogistic"},0),Inputs!$F$7,Inputs!$F$9,Inputs!$F$11))^CHOOSE(MATCH(Inputs!$B$3,{"weibull","lognormal","loglogistic"},0),Inputs!$D$7,Inputs!$D$9,Inputs!$D$11)),IF(Inputs!$B$3="loglogistic",1/(1+(B351/CHOOSE(MATCH(Inputs!$B$3,{"weibull","lognormal","loglogistic"},0),Inputs!$F$7,Inputs!$F$9,Inputs!$F$11))^CHOOSE(MATCH(Inputs!$B$3,{"weibull","lognormal","loglogistic"},0),Inputs!$D$7,Inputs!$D$9,Inputs!$D$11)),1-NORM.S.DIST((LN(B351)-CHOOSE(MATCH(Inputs!$B$3,{"weibull","lognormal","loglogistic"},0),Inputs!$D$7,Inputs!$D$9,Inputs!$D$11))/CHOOSE(MATCH(Inputs!$B$3,{"weibull","lognormal","loglogistic"},0),Inputs!$F$7,Inputs!$F$9,Inputs!$F$11),TRUE))))</f>
        <v/>
      </c>
      <c r="D351">
        <f>IF(B351=0,1,IF(Inputs!$B$3="weibull",EXP(-(B351/CHOOSE(MATCH(Inputs!$B$3,{"weibull","lognormal","loglogistic"},0),Inputs!$F$8,Inputs!$F$10,Inputs!$F$12))^CHOOSE(MATCH(Inputs!$B$3,{"weibull","lognormal","loglogistic"},0),Inputs!$D$8,Inputs!$D$10,Inputs!$D$12)),IF(Inputs!$B$3="loglogistic",1/(1+(B351/CHOOSE(MATCH(Inputs!$B$3,{"weibull","lognormal","loglogistic"},0),Inputs!$F$8,Inputs!$F$10,Inputs!$F$12))^CHOOSE(MATCH(Inputs!$B$3,{"weibull","lognormal","loglogistic"},0),Inputs!$D$8,Inputs!$D$10,Inputs!$D$12)),1-NORM.S.DIST((LN(B351)-CHOOSE(MATCH(Inputs!$B$3,{"weibull","lognormal","loglogistic"},0),Inputs!$D$8,Inputs!$D$10,Inputs!$D$12))/CHOOSE(MATCH(Inputs!$B$3,{"weibull","lognormal","loglogistic"},0),Inputs!$F$8,Inputs!$F$10,Inputs!$F$12),TRUE))))</f>
        <v/>
      </c>
      <c r="E351">
        <f>(C350+C351)/2/12</f>
        <v/>
      </c>
      <c r="F351">
        <f>(D350+D351)/2/12</f>
        <v/>
      </c>
    </row>
    <row r="352">
      <c r="A352" t="n">
        <v>350</v>
      </c>
      <c r="B352">
        <f>A352/12</f>
        <v/>
      </c>
      <c r="C352">
        <f>IF(B352=0,1,IF(Inputs!$B$3="weibull",EXP(-(B352/CHOOSE(MATCH(Inputs!$B$3,{"weibull","lognormal","loglogistic"},0),Inputs!$F$7,Inputs!$F$9,Inputs!$F$11))^CHOOSE(MATCH(Inputs!$B$3,{"weibull","lognormal","loglogistic"},0),Inputs!$D$7,Inputs!$D$9,Inputs!$D$11)),IF(Inputs!$B$3="loglogistic",1/(1+(B352/CHOOSE(MATCH(Inputs!$B$3,{"weibull","lognormal","loglogistic"},0),Inputs!$F$7,Inputs!$F$9,Inputs!$F$11))^CHOOSE(MATCH(Inputs!$B$3,{"weibull","lognormal","loglogistic"},0),Inputs!$D$7,Inputs!$D$9,Inputs!$D$11)),1-NORM.S.DIST((LN(B352)-CHOOSE(MATCH(Inputs!$B$3,{"weibull","lognormal","loglogistic"},0),Inputs!$D$7,Inputs!$D$9,Inputs!$D$11))/CHOOSE(MATCH(Inputs!$B$3,{"weibull","lognormal","loglogistic"},0),Inputs!$F$7,Inputs!$F$9,Inputs!$F$11),TRUE))))</f>
        <v/>
      </c>
      <c r="D352">
        <f>IF(B352=0,1,IF(Inputs!$B$3="weibull",EXP(-(B352/CHOOSE(MATCH(Inputs!$B$3,{"weibull","lognormal","loglogistic"},0),Inputs!$F$8,Inputs!$F$10,Inputs!$F$12))^CHOOSE(MATCH(Inputs!$B$3,{"weibull","lognormal","loglogistic"},0),Inputs!$D$8,Inputs!$D$10,Inputs!$D$12)),IF(Inputs!$B$3="loglogistic",1/(1+(B352/CHOOSE(MATCH(Inputs!$B$3,{"weibull","lognormal","loglogistic"},0),Inputs!$F$8,Inputs!$F$10,Inputs!$F$12))^CHOOSE(MATCH(Inputs!$B$3,{"weibull","lognormal","loglogistic"},0),Inputs!$D$8,Inputs!$D$10,Inputs!$D$12)),1-NORM.S.DIST((LN(B352)-CHOOSE(MATCH(Inputs!$B$3,{"weibull","lognormal","loglogistic"},0),Inputs!$D$8,Inputs!$D$10,Inputs!$D$12))/CHOOSE(MATCH(Inputs!$B$3,{"weibull","lognormal","loglogistic"},0),Inputs!$F$8,Inputs!$F$10,Inputs!$F$12),TRUE))))</f>
        <v/>
      </c>
      <c r="E352">
        <f>(C351+C352)/2/12</f>
        <v/>
      </c>
      <c r="F352">
        <f>(D351+D352)/2/12</f>
        <v/>
      </c>
    </row>
    <row r="353">
      <c r="A353" t="n">
        <v>351</v>
      </c>
      <c r="B353">
        <f>A353/12</f>
        <v/>
      </c>
      <c r="C353">
        <f>IF(B353=0,1,IF(Inputs!$B$3="weibull",EXP(-(B353/CHOOSE(MATCH(Inputs!$B$3,{"weibull","lognormal","loglogistic"},0),Inputs!$F$7,Inputs!$F$9,Inputs!$F$11))^CHOOSE(MATCH(Inputs!$B$3,{"weibull","lognormal","loglogistic"},0),Inputs!$D$7,Inputs!$D$9,Inputs!$D$11)),IF(Inputs!$B$3="loglogistic",1/(1+(B353/CHOOSE(MATCH(Inputs!$B$3,{"weibull","lognormal","loglogistic"},0),Inputs!$F$7,Inputs!$F$9,Inputs!$F$11))^CHOOSE(MATCH(Inputs!$B$3,{"weibull","lognormal","loglogistic"},0),Inputs!$D$7,Inputs!$D$9,Inputs!$D$11)),1-NORM.S.DIST((LN(B353)-CHOOSE(MATCH(Inputs!$B$3,{"weibull","lognormal","loglogistic"},0),Inputs!$D$7,Inputs!$D$9,Inputs!$D$11))/CHOOSE(MATCH(Inputs!$B$3,{"weibull","lognormal","loglogistic"},0),Inputs!$F$7,Inputs!$F$9,Inputs!$F$11),TRUE))))</f>
        <v/>
      </c>
      <c r="D353">
        <f>IF(B353=0,1,IF(Inputs!$B$3="weibull",EXP(-(B353/CHOOSE(MATCH(Inputs!$B$3,{"weibull","lognormal","loglogistic"},0),Inputs!$F$8,Inputs!$F$10,Inputs!$F$12))^CHOOSE(MATCH(Inputs!$B$3,{"weibull","lognormal","loglogistic"},0),Inputs!$D$8,Inputs!$D$10,Inputs!$D$12)),IF(Inputs!$B$3="loglogistic",1/(1+(B353/CHOOSE(MATCH(Inputs!$B$3,{"weibull","lognormal","loglogistic"},0),Inputs!$F$8,Inputs!$F$10,Inputs!$F$12))^CHOOSE(MATCH(Inputs!$B$3,{"weibull","lognormal","loglogistic"},0),Inputs!$D$8,Inputs!$D$10,Inputs!$D$12)),1-NORM.S.DIST((LN(B353)-CHOOSE(MATCH(Inputs!$B$3,{"weibull","lognormal","loglogistic"},0),Inputs!$D$8,Inputs!$D$10,Inputs!$D$12))/CHOOSE(MATCH(Inputs!$B$3,{"weibull","lognormal","loglogistic"},0),Inputs!$F$8,Inputs!$F$10,Inputs!$F$12),TRUE))))</f>
        <v/>
      </c>
      <c r="E353">
        <f>(C352+C353)/2/12</f>
        <v/>
      </c>
      <c r="F353">
        <f>(D352+D353)/2/12</f>
        <v/>
      </c>
    </row>
    <row r="354">
      <c r="A354" t="n">
        <v>352</v>
      </c>
      <c r="B354">
        <f>A354/12</f>
        <v/>
      </c>
      <c r="C354">
        <f>IF(B354=0,1,IF(Inputs!$B$3="weibull",EXP(-(B354/CHOOSE(MATCH(Inputs!$B$3,{"weibull","lognormal","loglogistic"},0),Inputs!$F$7,Inputs!$F$9,Inputs!$F$11))^CHOOSE(MATCH(Inputs!$B$3,{"weibull","lognormal","loglogistic"},0),Inputs!$D$7,Inputs!$D$9,Inputs!$D$11)),IF(Inputs!$B$3="loglogistic",1/(1+(B354/CHOOSE(MATCH(Inputs!$B$3,{"weibull","lognormal","loglogistic"},0),Inputs!$F$7,Inputs!$F$9,Inputs!$F$11))^CHOOSE(MATCH(Inputs!$B$3,{"weibull","lognormal","loglogistic"},0),Inputs!$D$7,Inputs!$D$9,Inputs!$D$11)),1-NORM.S.DIST((LN(B354)-CHOOSE(MATCH(Inputs!$B$3,{"weibull","lognormal","loglogistic"},0),Inputs!$D$7,Inputs!$D$9,Inputs!$D$11))/CHOOSE(MATCH(Inputs!$B$3,{"weibull","lognormal","loglogistic"},0),Inputs!$F$7,Inputs!$F$9,Inputs!$F$11),TRUE))))</f>
        <v/>
      </c>
      <c r="D354">
        <f>IF(B354=0,1,IF(Inputs!$B$3="weibull",EXP(-(B354/CHOOSE(MATCH(Inputs!$B$3,{"weibull","lognormal","loglogistic"},0),Inputs!$F$8,Inputs!$F$10,Inputs!$F$12))^CHOOSE(MATCH(Inputs!$B$3,{"weibull","lognormal","loglogistic"},0),Inputs!$D$8,Inputs!$D$10,Inputs!$D$12)),IF(Inputs!$B$3="loglogistic",1/(1+(B354/CHOOSE(MATCH(Inputs!$B$3,{"weibull","lognormal","loglogistic"},0),Inputs!$F$8,Inputs!$F$10,Inputs!$F$12))^CHOOSE(MATCH(Inputs!$B$3,{"weibull","lognormal","loglogistic"},0),Inputs!$D$8,Inputs!$D$10,Inputs!$D$12)),1-NORM.S.DIST((LN(B354)-CHOOSE(MATCH(Inputs!$B$3,{"weibull","lognormal","loglogistic"},0),Inputs!$D$8,Inputs!$D$10,Inputs!$D$12))/CHOOSE(MATCH(Inputs!$B$3,{"weibull","lognormal","loglogistic"},0),Inputs!$F$8,Inputs!$F$10,Inputs!$F$12),TRUE))))</f>
        <v/>
      </c>
      <c r="E354">
        <f>(C353+C354)/2/12</f>
        <v/>
      </c>
      <c r="F354">
        <f>(D353+D354)/2/12</f>
        <v/>
      </c>
    </row>
    <row r="355">
      <c r="A355" t="n">
        <v>353</v>
      </c>
      <c r="B355">
        <f>A355/12</f>
        <v/>
      </c>
      <c r="C355">
        <f>IF(B355=0,1,IF(Inputs!$B$3="weibull",EXP(-(B355/CHOOSE(MATCH(Inputs!$B$3,{"weibull","lognormal","loglogistic"},0),Inputs!$F$7,Inputs!$F$9,Inputs!$F$11))^CHOOSE(MATCH(Inputs!$B$3,{"weibull","lognormal","loglogistic"},0),Inputs!$D$7,Inputs!$D$9,Inputs!$D$11)),IF(Inputs!$B$3="loglogistic",1/(1+(B355/CHOOSE(MATCH(Inputs!$B$3,{"weibull","lognormal","loglogistic"},0),Inputs!$F$7,Inputs!$F$9,Inputs!$F$11))^CHOOSE(MATCH(Inputs!$B$3,{"weibull","lognormal","loglogistic"},0),Inputs!$D$7,Inputs!$D$9,Inputs!$D$11)),1-NORM.S.DIST((LN(B355)-CHOOSE(MATCH(Inputs!$B$3,{"weibull","lognormal","loglogistic"},0),Inputs!$D$7,Inputs!$D$9,Inputs!$D$11))/CHOOSE(MATCH(Inputs!$B$3,{"weibull","lognormal","loglogistic"},0),Inputs!$F$7,Inputs!$F$9,Inputs!$F$11),TRUE))))</f>
        <v/>
      </c>
      <c r="D355">
        <f>IF(B355=0,1,IF(Inputs!$B$3="weibull",EXP(-(B355/CHOOSE(MATCH(Inputs!$B$3,{"weibull","lognormal","loglogistic"},0),Inputs!$F$8,Inputs!$F$10,Inputs!$F$12))^CHOOSE(MATCH(Inputs!$B$3,{"weibull","lognormal","loglogistic"},0),Inputs!$D$8,Inputs!$D$10,Inputs!$D$12)),IF(Inputs!$B$3="loglogistic",1/(1+(B355/CHOOSE(MATCH(Inputs!$B$3,{"weibull","lognormal","loglogistic"},0),Inputs!$F$8,Inputs!$F$10,Inputs!$F$12))^CHOOSE(MATCH(Inputs!$B$3,{"weibull","lognormal","loglogistic"},0),Inputs!$D$8,Inputs!$D$10,Inputs!$D$12)),1-NORM.S.DIST((LN(B355)-CHOOSE(MATCH(Inputs!$B$3,{"weibull","lognormal","loglogistic"},0),Inputs!$D$8,Inputs!$D$10,Inputs!$D$12))/CHOOSE(MATCH(Inputs!$B$3,{"weibull","lognormal","loglogistic"},0),Inputs!$F$8,Inputs!$F$10,Inputs!$F$12),TRUE))))</f>
        <v/>
      </c>
      <c r="E355">
        <f>(C354+C355)/2/12</f>
        <v/>
      </c>
      <c r="F355">
        <f>(D354+D355)/2/12</f>
        <v/>
      </c>
    </row>
    <row r="356">
      <c r="A356" t="n">
        <v>354</v>
      </c>
      <c r="B356">
        <f>A356/12</f>
        <v/>
      </c>
      <c r="C356">
        <f>IF(B356=0,1,IF(Inputs!$B$3="weibull",EXP(-(B356/CHOOSE(MATCH(Inputs!$B$3,{"weibull","lognormal","loglogistic"},0),Inputs!$F$7,Inputs!$F$9,Inputs!$F$11))^CHOOSE(MATCH(Inputs!$B$3,{"weibull","lognormal","loglogistic"},0),Inputs!$D$7,Inputs!$D$9,Inputs!$D$11)),IF(Inputs!$B$3="loglogistic",1/(1+(B356/CHOOSE(MATCH(Inputs!$B$3,{"weibull","lognormal","loglogistic"},0),Inputs!$F$7,Inputs!$F$9,Inputs!$F$11))^CHOOSE(MATCH(Inputs!$B$3,{"weibull","lognormal","loglogistic"},0),Inputs!$D$7,Inputs!$D$9,Inputs!$D$11)),1-NORM.S.DIST((LN(B356)-CHOOSE(MATCH(Inputs!$B$3,{"weibull","lognormal","loglogistic"},0),Inputs!$D$7,Inputs!$D$9,Inputs!$D$11))/CHOOSE(MATCH(Inputs!$B$3,{"weibull","lognormal","loglogistic"},0),Inputs!$F$7,Inputs!$F$9,Inputs!$F$11),TRUE))))</f>
        <v/>
      </c>
      <c r="D356">
        <f>IF(B356=0,1,IF(Inputs!$B$3="weibull",EXP(-(B356/CHOOSE(MATCH(Inputs!$B$3,{"weibull","lognormal","loglogistic"},0),Inputs!$F$8,Inputs!$F$10,Inputs!$F$12))^CHOOSE(MATCH(Inputs!$B$3,{"weibull","lognormal","loglogistic"},0),Inputs!$D$8,Inputs!$D$10,Inputs!$D$12)),IF(Inputs!$B$3="loglogistic",1/(1+(B356/CHOOSE(MATCH(Inputs!$B$3,{"weibull","lognormal","loglogistic"},0),Inputs!$F$8,Inputs!$F$10,Inputs!$F$12))^CHOOSE(MATCH(Inputs!$B$3,{"weibull","lognormal","loglogistic"},0),Inputs!$D$8,Inputs!$D$10,Inputs!$D$12)),1-NORM.S.DIST((LN(B356)-CHOOSE(MATCH(Inputs!$B$3,{"weibull","lognormal","loglogistic"},0),Inputs!$D$8,Inputs!$D$10,Inputs!$D$12))/CHOOSE(MATCH(Inputs!$B$3,{"weibull","lognormal","loglogistic"},0),Inputs!$F$8,Inputs!$F$10,Inputs!$F$12),TRUE))))</f>
        <v/>
      </c>
      <c r="E356">
        <f>(C355+C356)/2/12</f>
        <v/>
      </c>
      <c r="F356">
        <f>(D355+D356)/2/12</f>
        <v/>
      </c>
    </row>
    <row r="357">
      <c r="A357" t="n">
        <v>355</v>
      </c>
      <c r="B357">
        <f>A357/12</f>
        <v/>
      </c>
      <c r="C357">
        <f>IF(B357=0,1,IF(Inputs!$B$3="weibull",EXP(-(B357/CHOOSE(MATCH(Inputs!$B$3,{"weibull","lognormal","loglogistic"},0),Inputs!$F$7,Inputs!$F$9,Inputs!$F$11))^CHOOSE(MATCH(Inputs!$B$3,{"weibull","lognormal","loglogistic"},0),Inputs!$D$7,Inputs!$D$9,Inputs!$D$11)),IF(Inputs!$B$3="loglogistic",1/(1+(B357/CHOOSE(MATCH(Inputs!$B$3,{"weibull","lognormal","loglogistic"},0),Inputs!$F$7,Inputs!$F$9,Inputs!$F$11))^CHOOSE(MATCH(Inputs!$B$3,{"weibull","lognormal","loglogistic"},0),Inputs!$D$7,Inputs!$D$9,Inputs!$D$11)),1-NORM.S.DIST((LN(B357)-CHOOSE(MATCH(Inputs!$B$3,{"weibull","lognormal","loglogistic"},0),Inputs!$D$7,Inputs!$D$9,Inputs!$D$11))/CHOOSE(MATCH(Inputs!$B$3,{"weibull","lognormal","loglogistic"},0),Inputs!$F$7,Inputs!$F$9,Inputs!$F$11),TRUE))))</f>
        <v/>
      </c>
      <c r="D357">
        <f>IF(B357=0,1,IF(Inputs!$B$3="weibull",EXP(-(B357/CHOOSE(MATCH(Inputs!$B$3,{"weibull","lognormal","loglogistic"},0),Inputs!$F$8,Inputs!$F$10,Inputs!$F$12))^CHOOSE(MATCH(Inputs!$B$3,{"weibull","lognormal","loglogistic"},0),Inputs!$D$8,Inputs!$D$10,Inputs!$D$12)),IF(Inputs!$B$3="loglogistic",1/(1+(B357/CHOOSE(MATCH(Inputs!$B$3,{"weibull","lognormal","loglogistic"},0),Inputs!$F$8,Inputs!$F$10,Inputs!$F$12))^CHOOSE(MATCH(Inputs!$B$3,{"weibull","lognormal","loglogistic"},0),Inputs!$D$8,Inputs!$D$10,Inputs!$D$12)),1-NORM.S.DIST((LN(B357)-CHOOSE(MATCH(Inputs!$B$3,{"weibull","lognormal","loglogistic"},0),Inputs!$D$8,Inputs!$D$10,Inputs!$D$12))/CHOOSE(MATCH(Inputs!$B$3,{"weibull","lognormal","loglogistic"},0),Inputs!$F$8,Inputs!$F$10,Inputs!$F$12),TRUE))))</f>
        <v/>
      </c>
      <c r="E357">
        <f>(C356+C357)/2/12</f>
        <v/>
      </c>
      <c r="F357">
        <f>(D356+D357)/2/12</f>
        <v/>
      </c>
    </row>
    <row r="358">
      <c r="A358" t="n">
        <v>356</v>
      </c>
      <c r="B358">
        <f>A358/12</f>
        <v/>
      </c>
      <c r="C358">
        <f>IF(B358=0,1,IF(Inputs!$B$3="weibull",EXP(-(B358/CHOOSE(MATCH(Inputs!$B$3,{"weibull","lognormal","loglogistic"},0),Inputs!$F$7,Inputs!$F$9,Inputs!$F$11))^CHOOSE(MATCH(Inputs!$B$3,{"weibull","lognormal","loglogistic"},0),Inputs!$D$7,Inputs!$D$9,Inputs!$D$11)),IF(Inputs!$B$3="loglogistic",1/(1+(B358/CHOOSE(MATCH(Inputs!$B$3,{"weibull","lognormal","loglogistic"},0),Inputs!$F$7,Inputs!$F$9,Inputs!$F$11))^CHOOSE(MATCH(Inputs!$B$3,{"weibull","lognormal","loglogistic"},0),Inputs!$D$7,Inputs!$D$9,Inputs!$D$11)),1-NORM.S.DIST((LN(B358)-CHOOSE(MATCH(Inputs!$B$3,{"weibull","lognormal","loglogistic"},0),Inputs!$D$7,Inputs!$D$9,Inputs!$D$11))/CHOOSE(MATCH(Inputs!$B$3,{"weibull","lognormal","loglogistic"},0),Inputs!$F$7,Inputs!$F$9,Inputs!$F$11),TRUE))))</f>
        <v/>
      </c>
      <c r="D358">
        <f>IF(B358=0,1,IF(Inputs!$B$3="weibull",EXP(-(B358/CHOOSE(MATCH(Inputs!$B$3,{"weibull","lognormal","loglogistic"},0),Inputs!$F$8,Inputs!$F$10,Inputs!$F$12))^CHOOSE(MATCH(Inputs!$B$3,{"weibull","lognormal","loglogistic"},0),Inputs!$D$8,Inputs!$D$10,Inputs!$D$12)),IF(Inputs!$B$3="loglogistic",1/(1+(B358/CHOOSE(MATCH(Inputs!$B$3,{"weibull","lognormal","loglogistic"},0),Inputs!$F$8,Inputs!$F$10,Inputs!$F$12))^CHOOSE(MATCH(Inputs!$B$3,{"weibull","lognormal","loglogistic"},0),Inputs!$D$8,Inputs!$D$10,Inputs!$D$12)),1-NORM.S.DIST((LN(B358)-CHOOSE(MATCH(Inputs!$B$3,{"weibull","lognormal","loglogistic"},0),Inputs!$D$8,Inputs!$D$10,Inputs!$D$12))/CHOOSE(MATCH(Inputs!$B$3,{"weibull","lognormal","loglogistic"},0),Inputs!$F$8,Inputs!$F$10,Inputs!$F$12),TRUE))))</f>
        <v/>
      </c>
      <c r="E358">
        <f>(C357+C358)/2/12</f>
        <v/>
      </c>
      <c r="F358">
        <f>(D357+D358)/2/12</f>
        <v/>
      </c>
    </row>
    <row r="359">
      <c r="A359" t="n">
        <v>357</v>
      </c>
      <c r="B359">
        <f>A359/12</f>
        <v/>
      </c>
      <c r="C359">
        <f>IF(B359=0,1,IF(Inputs!$B$3="weibull",EXP(-(B359/CHOOSE(MATCH(Inputs!$B$3,{"weibull","lognormal","loglogistic"},0),Inputs!$F$7,Inputs!$F$9,Inputs!$F$11))^CHOOSE(MATCH(Inputs!$B$3,{"weibull","lognormal","loglogistic"},0),Inputs!$D$7,Inputs!$D$9,Inputs!$D$11)),IF(Inputs!$B$3="loglogistic",1/(1+(B359/CHOOSE(MATCH(Inputs!$B$3,{"weibull","lognormal","loglogistic"},0),Inputs!$F$7,Inputs!$F$9,Inputs!$F$11))^CHOOSE(MATCH(Inputs!$B$3,{"weibull","lognormal","loglogistic"},0),Inputs!$D$7,Inputs!$D$9,Inputs!$D$11)),1-NORM.S.DIST((LN(B359)-CHOOSE(MATCH(Inputs!$B$3,{"weibull","lognormal","loglogistic"},0),Inputs!$D$7,Inputs!$D$9,Inputs!$D$11))/CHOOSE(MATCH(Inputs!$B$3,{"weibull","lognormal","loglogistic"},0),Inputs!$F$7,Inputs!$F$9,Inputs!$F$11),TRUE))))</f>
        <v/>
      </c>
      <c r="D359">
        <f>IF(B359=0,1,IF(Inputs!$B$3="weibull",EXP(-(B359/CHOOSE(MATCH(Inputs!$B$3,{"weibull","lognormal","loglogistic"},0),Inputs!$F$8,Inputs!$F$10,Inputs!$F$12))^CHOOSE(MATCH(Inputs!$B$3,{"weibull","lognormal","loglogistic"},0),Inputs!$D$8,Inputs!$D$10,Inputs!$D$12)),IF(Inputs!$B$3="loglogistic",1/(1+(B359/CHOOSE(MATCH(Inputs!$B$3,{"weibull","lognormal","loglogistic"},0),Inputs!$F$8,Inputs!$F$10,Inputs!$F$12))^CHOOSE(MATCH(Inputs!$B$3,{"weibull","lognormal","loglogistic"},0),Inputs!$D$8,Inputs!$D$10,Inputs!$D$12)),1-NORM.S.DIST((LN(B359)-CHOOSE(MATCH(Inputs!$B$3,{"weibull","lognormal","loglogistic"},0),Inputs!$D$8,Inputs!$D$10,Inputs!$D$12))/CHOOSE(MATCH(Inputs!$B$3,{"weibull","lognormal","loglogistic"},0),Inputs!$F$8,Inputs!$F$10,Inputs!$F$12),TRUE))))</f>
        <v/>
      </c>
      <c r="E359">
        <f>(C358+C359)/2/12</f>
        <v/>
      </c>
      <c r="F359">
        <f>(D358+D359)/2/12</f>
        <v/>
      </c>
    </row>
    <row r="360">
      <c r="A360" t="n">
        <v>358</v>
      </c>
      <c r="B360">
        <f>A360/12</f>
        <v/>
      </c>
      <c r="C360">
        <f>IF(B360=0,1,IF(Inputs!$B$3="weibull",EXP(-(B360/CHOOSE(MATCH(Inputs!$B$3,{"weibull","lognormal","loglogistic"},0),Inputs!$F$7,Inputs!$F$9,Inputs!$F$11))^CHOOSE(MATCH(Inputs!$B$3,{"weibull","lognormal","loglogistic"},0),Inputs!$D$7,Inputs!$D$9,Inputs!$D$11)),IF(Inputs!$B$3="loglogistic",1/(1+(B360/CHOOSE(MATCH(Inputs!$B$3,{"weibull","lognormal","loglogistic"},0),Inputs!$F$7,Inputs!$F$9,Inputs!$F$11))^CHOOSE(MATCH(Inputs!$B$3,{"weibull","lognormal","loglogistic"},0),Inputs!$D$7,Inputs!$D$9,Inputs!$D$11)),1-NORM.S.DIST((LN(B360)-CHOOSE(MATCH(Inputs!$B$3,{"weibull","lognormal","loglogistic"},0),Inputs!$D$7,Inputs!$D$9,Inputs!$D$11))/CHOOSE(MATCH(Inputs!$B$3,{"weibull","lognormal","loglogistic"},0),Inputs!$F$7,Inputs!$F$9,Inputs!$F$11),TRUE))))</f>
        <v/>
      </c>
      <c r="D360">
        <f>IF(B360=0,1,IF(Inputs!$B$3="weibull",EXP(-(B360/CHOOSE(MATCH(Inputs!$B$3,{"weibull","lognormal","loglogistic"},0),Inputs!$F$8,Inputs!$F$10,Inputs!$F$12))^CHOOSE(MATCH(Inputs!$B$3,{"weibull","lognormal","loglogistic"},0),Inputs!$D$8,Inputs!$D$10,Inputs!$D$12)),IF(Inputs!$B$3="loglogistic",1/(1+(B360/CHOOSE(MATCH(Inputs!$B$3,{"weibull","lognormal","loglogistic"},0),Inputs!$F$8,Inputs!$F$10,Inputs!$F$12))^CHOOSE(MATCH(Inputs!$B$3,{"weibull","lognormal","loglogistic"},0),Inputs!$D$8,Inputs!$D$10,Inputs!$D$12)),1-NORM.S.DIST((LN(B360)-CHOOSE(MATCH(Inputs!$B$3,{"weibull","lognormal","loglogistic"},0),Inputs!$D$8,Inputs!$D$10,Inputs!$D$12))/CHOOSE(MATCH(Inputs!$B$3,{"weibull","lognormal","loglogistic"},0),Inputs!$F$8,Inputs!$F$10,Inputs!$F$12),TRUE))))</f>
        <v/>
      </c>
      <c r="E360">
        <f>(C359+C360)/2/12</f>
        <v/>
      </c>
      <c r="F360">
        <f>(D359+D360)/2/12</f>
        <v/>
      </c>
    </row>
    <row r="361">
      <c r="A361" t="n">
        <v>359</v>
      </c>
      <c r="B361">
        <f>A361/12</f>
        <v/>
      </c>
      <c r="C361">
        <f>IF(B361=0,1,IF(Inputs!$B$3="weibull",EXP(-(B361/CHOOSE(MATCH(Inputs!$B$3,{"weibull","lognormal","loglogistic"},0),Inputs!$F$7,Inputs!$F$9,Inputs!$F$11))^CHOOSE(MATCH(Inputs!$B$3,{"weibull","lognormal","loglogistic"},0),Inputs!$D$7,Inputs!$D$9,Inputs!$D$11)),IF(Inputs!$B$3="loglogistic",1/(1+(B361/CHOOSE(MATCH(Inputs!$B$3,{"weibull","lognormal","loglogistic"},0),Inputs!$F$7,Inputs!$F$9,Inputs!$F$11))^CHOOSE(MATCH(Inputs!$B$3,{"weibull","lognormal","loglogistic"},0),Inputs!$D$7,Inputs!$D$9,Inputs!$D$11)),1-NORM.S.DIST((LN(B361)-CHOOSE(MATCH(Inputs!$B$3,{"weibull","lognormal","loglogistic"},0),Inputs!$D$7,Inputs!$D$9,Inputs!$D$11))/CHOOSE(MATCH(Inputs!$B$3,{"weibull","lognormal","loglogistic"},0),Inputs!$F$7,Inputs!$F$9,Inputs!$F$11),TRUE))))</f>
        <v/>
      </c>
      <c r="D361">
        <f>IF(B361=0,1,IF(Inputs!$B$3="weibull",EXP(-(B361/CHOOSE(MATCH(Inputs!$B$3,{"weibull","lognormal","loglogistic"},0),Inputs!$F$8,Inputs!$F$10,Inputs!$F$12))^CHOOSE(MATCH(Inputs!$B$3,{"weibull","lognormal","loglogistic"},0),Inputs!$D$8,Inputs!$D$10,Inputs!$D$12)),IF(Inputs!$B$3="loglogistic",1/(1+(B361/CHOOSE(MATCH(Inputs!$B$3,{"weibull","lognormal","loglogistic"},0),Inputs!$F$8,Inputs!$F$10,Inputs!$F$12))^CHOOSE(MATCH(Inputs!$B$3,{"weibull","lognormal","loglogistic"},0),Inputs!$D$8,Inputs!$D$10,Inputs!$D$12)),1-NORM.S.DIST((LN(B361)-CHOOSE(MATCH(Inputs!$B$3,{"weibull","lognormal","loglogistic"},0),Inputs!$D$8,Inputs!$D$10,Inputs!$D$12))/CHOOSE(MATCH(Inputs!$B$3,{"weibull","lognormal","loglogistic"},0),Inputs!$F$8,Inputs!$F$10,Inputs!$F$12),TRUE))))</f>
        <v/>
      </c>
      <c r="E361">
        <f>(C360+C361)/2/12</f>
        <v/>
      </c>
      <c r="F361">
        <f>(D360+D361)/2/12</f>
        <v/>
      </c>
    </row>
    <row r="362">
      <c r="A362" t="n">
        <v>360</v>
      </c>
      <c r="B362">
        <f>A362/12</f>
        <v/>
      </c>
      <c r="C362">
        <f>IF(B362=0,1,IF(Inputs!$B$3="weibull",EXP(-(B362/CHOOSE(MATCH(Inputs!$B$3,{"weibull","lognormal","loglogistic"},0),Inputs!$F$7,Inputs!$F$9,Inputs!$F$11))^CHOOSE(MATCH(Inputs!$B$3,{"weibull","lognormal","loglogistic"},0),Inputs!$D$7,Inputs!$D$9,Inputs!$D$11)),IF(Inputs!$B$3="loglogistic",1/(1+(B362/CHOOSE(MATCH(Inputs!$B$3,{"weibull","lognormal","loglogistic"},0),Inputs!$F$7,Inputs!$F$9,Inputs!$F$11))^CHOOSE(MATCH(Inputs!$B$3,{"weibull","lognormal","loglogistic"},0),Inputs!$D$7,Inputs!$D$9,Inputs!$D$11)),1-NORM.S.DIST((LN(B362)-CHOOSE(MATCH(Inputs!$B$3,{"weibull","lognormal","loglogistic"},0),Inputs!$D$7,Inputs!$D$9,Inputs!$D$11))/CHOOSE(MATCH(Inputs!$B$3,{"weibull","lognormal","loglogistic"},0),Inputs!$F$7,Inputs!$F$9,Inputs!$F$11),TRUE))))</f>
        <v/>
      </c>
      <c r="D362">
        <f>IF(B362=0,1,IF(Inputs!$B$3="weibull",EXP(-(B362/CHOOSE(MATCH(Inputs!$B$3,{"weibull","lognormal","loglogistic"},0),Inputs!$F$8,Inputs!$F$10,Inputs!$F$12))^CHOOSE(MATCH(Inputs!$B$3,{"weibull","lognormal","loglogistic"},0),Inputs!$D$8,Inputs!$D$10,Inputs!$D$12)),IF(Inputs!$B$3="loglogistic",1/(1+(B362/CHOOSE(MATCH(Inputs!$B$3,{"weibull","lognormal","loglogistic"},0),Inputs!$F$8,Inputs!$F$10,Inputs!$F$12))^CHOOSE(MATCH(Inputs!$B$3,{"weibull","lognormal","loglogistic"},0),Inputs!$D$8,Inputs!$D$10,Inputs!$D$12)),1-NORM.S.DIST((LN(B362)-CHOOSE(MATCH(Inputs!$B$3,{"weibull","lognormal","loglogistic"},0),Inputs!$D$8,Inputs!$D$10,Inputs!$D$12))/CHOOSE(MATCH(Inputs!$B$3,{"weibull","lognormal","loglogistic"},0),Inputs!$F$8,Inputs!$F$10,Inputs!$F$12),TRUE))))</f>
        <v/>
      </c>
      <c r="E362">
        <f>(C361+C362)/2/12</f>
        <v/>
      </c>
      <c r="F362">
        <f>(D361+D362)/2/12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2026-10-29T10:11:38Z</dcterms:created>
  <dcterms:modified xmlns:dcterms="http://purl.org/dc/terms/" xmlns:xsi="http://www.w3.org/2001/XMLSchema-instance" xsi:type="dcterms:W3CDTF">2026-10-29T10:11:38Z</dcterms:modified>
</cp:coreProperties>
</file>